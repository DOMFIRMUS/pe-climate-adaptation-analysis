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MEP_Marco\Documents\"/>
    </mc:Choice>
  </mc:AlternateContent>
  <xr:revisionPtr revIDLastSave="0" documentId="13_ncr:1_{1B497BBE-81D1-4AE9-8C06-B484F4F25D65}" xr6:coauthVersionLast="47" xr6:coauthVersionMax="47" xr10:uidLastSave="{00000000-0000-0000-0000-000000000000}"/>
  <bookViews>
    <workbookView xWindow="-108" yWindow="-108" windowWidth="23256" windowHeight="12456" xr2:uid="{A00CAD89-7195-432F-A307-2759D6B180D2}"/>
  </bookViews>
  <sheets>
    <sheet name="Tabela 1" sheetId="1" r:id="rId1"/>
    <sheet name="Tabela 2" sheetId="2" r:id="rId2"/>
    <sheet name="Tabela 3" sheetId="3" r:id="rId3"/>
    <sheet name="Tabela 4" sheetId="4" r:id="rId4"/>
    <sheet name="Tabela 6" sheetId="5" r:id="rId5"/>
    <sheet name="Tabela 7" sheetId="6" r:id="rId6"/>
    <sheet name="Tabela 9" sheetId="7" r:id="rId7"/>
    <sheet name="Tabela 10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7" i="1" l="1"/>
  <c r="H77" i="1"/>
  <c r="G77" i="1"/>
  <c r="F77" i="1"/>
  <c r="E77" i="1"/>
  <c r="D77" i="1"/>
  <c r="C77" i="1"/>
  <c r="G38" i="1"/>
  <c r="C38" i="1"/>
  <c r="H38" i="1"/>
  <c r="E38" i="1"/>
  <c r="D38" i="1"/>
  <c r="F38" i="1" l="1"/>
  <c r="I38" i="1"/>
</calcChain>
</file>

<file path=xl/sharedStrings.xml><?xml version="1.0" encoding="utf-8"?>
<sst xmlns="http://schemas.openxmlformats.org/spreadsheetml/2006/main" count="566" uniqueCount="119">
  <si>
    <t>Municípios</t>
  </si>
  <si>
    <t>População Censo IBGE (2022)</t>
  </si>
  <si>
    <t>Densidade demográfica (hab/km2)</t>
  </si>
  <si>
    <t>Taxa de Urbanização (2022)</t>
  </si>
  <si>
    <t>Agrestina</t>
  </si>
  <si>
    <t>Alagoinha</t>
  </si>
  <si>
    <t>Altinho</t>
  </si>
  <si>
    <t>Barra de Guabiraba</t>
  </si>
  <si>
    <t>Belo Jardim</t>
  </si>
  <si>
    <t>Bezerros</t>
  </si>
  <si>
    <t>Bonito</t>
  </si>
  <si>
    <t>Cachoeirinha</t>
  </si>
  <si>
    <t>Camocim de São Félix</t>
  </si>
  <si>
    <t>Caruaru</t>
  </si>
  <si>
    <t>Cupira</t>
  </si>
  <si>
    <t>Gravatá</t>
  </si>
  <si>
    <t>Ibirajuba</t>
  </si>
  <si>
    <t>Jataúba</t>
  </si>
  <si>
    <t>Lagoa dos Gatos</t>
  </si>
  <si>
    <t>Panelas</t>
  </si>
  <si>
    <t>Pesqueira</t>
  </si>
  <si>
    <t>Poção</t>
  </si>
  <si>
    <t>Pombos</t>
  </si>
  <si>
    <t>Riacho das Almas</t>
  </si>
  <si>
    <t>Sairé</t>
  </si>
  <si>
    <t>Sanharó</t>
  </si>
  <si>
    <t>São Caitano</t>
  </si>
  <si>
    <t>São Joaquim do Monte</t>
  </si>
  <si>
    <t>Tacaimbó</t>
  </si>
  <si>
    <t>IDHMunicipal (2010)</t>
  </si>
  <si>
    <t>Área IBGEkm² (2022)</t>
  </si>
  <si>
    <t>Brejo da Madre de Deus</t>
  </si>
  <si>
    <t>São Bento do Una</t>
  </si>
  <si>
    <t>Tabela 1 – Índice de Desenvolvimento Humano Municipal, população, área, densidade demográfica e taxa de urbanização por município do Agreste Central – 2010</t>
  </si>
  <si>
    <t>Atendimento da população total com rede de abastecimento de água (2023)</t>
  </si>
  <si>
    <t>VAB Agropecuária (%)</t>
  </si>
  <si>
    <t>VAB Indústria (%)</t>
  </si>
  <si>
    <t>VAB Serviços (%)</t>
  </si>
  <si>
    <t>VAB Adm. Pública (%)</t>
  </si>
  <si>
    <t xml:space="preserve"> PIB Municipal</t>
  </si>
  <si>
    <t>PIB municipal per capita</t>
  </si>
  <si>
    <t>PIB Municipal</t>
  </si>
  <si>
    <t>Tabela 3 – Composição do Valor Adicionado Bruto - VAB, PIB total e per capita dos municípios do Agreste Central – 2021</t>
  </si>
  <si>
    <t>Tabela 2 – Atendimento da população total com rede de abastecimento de água por município do Agreste Central - 2023</t>
  </si>
  <si>
    <t>População ocupada 2022 (nº absoluto)</t>
  </si>
  <si>
    <t>População ocupada 2022 (em %)</t>
  </si>
  <si>
    <t>Salário médio mensal dos trabalhadores formais (em salários mínimos)</t>
  </si>
  <si>
    <t>Tabela 4 – Pessoas ocupadas (absoluto), população ocupada e salário médio mensal dos trabalhadores formais por município do Agreste Central – 2022</t>
  </si>
  <si>
    <t>Nº de Equipamentos de saúde – Administração própria</t>
  </si>
  <si>
    <t>Nº de Equipamentos de saúde - Organização Social</t>
  </si>
  <si>
    <t>Nº de Equipamentos de saúde – Rede complementar</t>
  </si>
  <si>
    <t>Tabela 6 – Equipamentos de Saúde da Rede Estadual por tipo no Agreste Central - 2024</t>
  </si>
  <si>
    <t>Taxa de Mortalidade por Causas Evitáveis por 100mil hab</t>
  </si>
  <si>
    <t>Taxa de Mortalidade Infantil</t>
  </si>
  <si>
    <t>Tabela 7 – Taxa de Mortalidade por Causas Evitáveis e de mortalidade infantil nos municípios do Agreste Central – 2024</t>
  </si>
  <si>
    <t>IDEB EFAI rede municipal (anos iniciais)</t>
  </si>
  <si>
    <t>IDEB EFAF rede municipal (anos finais)</t>
  </si>
  <si>
    <t>IDEB EM rede estadual (ensino médio)</t>
  </si>
  <si>
    <t>Tabela 9 – Resultados do IDEB por município do Agreste Central – 2023</t>
  </si>
  <si>
    <t>Tabela 10 – Resultados do IDEPE por município do Agreste Central – 2023</t>
  </si>
  <si>
    <t>IDEPE 2023 rede estadual (anos finais)</t>
  </si>
  <si>
    <t>IDEPE rede estadual (ensino médio)</t>
  </si>
  <si>
    <t>-</t>
  </si>
  <si>
    <r>
      <t xml:space="preserve">ÁREA: </t>
    </r>
    <r>
      <rPr>
        <sz val="11"/>
        <color theme="1"/>
        <rFont val="Calibri"/>
        <family val="2"/>
        <scheme val="minor"/>
      </rPr>
      <t>10.299,709 km²</t>
    </r>
  </si>
  <si>
    <r>
      <t>POPULAÇÃO</t>
    </r>
    <r>
      <rPr>
        <sz val="11"/>
        <color theme="1"/>
        <rFont val="Calibri"/>
        <family val="2"/>
        <scheme val="minor"/>
      </rPr>
      <t>: 1.154.305 hab.</t>
    </r>
  </si>
  <si>
    <r>
      <t xml:space="preserve">DENS DEM: </t>
    </r>
    <r>
      <rPr>
        <sz val="11"/>
        <color theme="1"/>
        <rFont val="Calibri"/>
        <family val="2"/>
        <scheme val="minor"/>
      </rPr>
      <t>112,10 hab/km²</t>
    </r>
  </si>
  <si>
    <r>
      <t xml:space="preserve">QTD MUNICÍPIOS: </t>
    </r>
    <r>
      <rPr>
        <sz val="11"/>
        <color theme="1"/>
        <rFont val="Calibri"/>
        <family val="2"/>
        <scheme val="minor"/>
      </rPr>
      <t>27</t>
    </r>
  </si>
  <si>
    <r>
      <t xml:space="preserve">PIB (2021): </t>
    </r>
    <r>
      <rPr>
        <sz val="11"/>
        <color theme="1"/>
        <rFont val="Calibri"/>
        <family val="2"/>
        <scheme val="minor"/>
      </rPr>
      <t>R$ 21.400.999.560,00</t>
    </r>
  </si>
  <si>
    <t>Caruaru concentra 40% do PIB da RD</t>
  </si>
  <si>
    <t xml:space="preserve"> PIB Municipal (R$)</t>
  </si>
  <si>
    <t>PIB municipal per capita (R$)</t>
  </si>
  <si>
    <t xml:space="preserve">RD Agreste Central </t>
  </si>
  <si>
    <t>Região de Desenvolvimento 08</t>
  </si>
  <si>
    <t>Agreste Central</t>
  </si>
  <si>
    <t>Região de Desenvolvimento 07</t>
  </si>
  <si>
    <t>Agreste Meridional</t>
  </si>
  <si>
    <r>
      <t xml:space="preserve">ÁREA: </t>
    </r>
    <r>
      <rPr>
        <sz val="11"/>
        <color theme="1"/>
        <rFont val="Calibri"/>
        <family val="2"/>
        <scheme val="minor"/>
      </rPr>
      <t>10.913,63 km²</t>
    </r>
  </si>
  <si>
    <r>
      <t>POPULAÇÃO</t>
    </r>
    <r>
      <rPr>
        <sz val="11"/>
        <color theme="1"/>
        <rFont val="Calibri"/>
        <family val="2"/>
        <scheme val="minor"/>
      </rPr>
      <t>: 671.706 hab.</t>
    </r>
  </si>
  <si>
    <r>
      <t xml:space="preserve">DENS DEM: </t>
    </r>
    <r>
      <rPr>
        <sz val="11"/>
        <color theme="1"/>
        <rFont val="Calibri"/>
        <family val="2"/>
        <scheme val="minor"/>
      </rPr>
      <t>61,55 hab/km²</t>
    </r>
  </si>
  <si>
    <r>
      <t xml:space="preserve">QTD MUNICÍPIOS: </t>
    </r>
    <r>
      <rPr>
        <sz val="11"/>
        <color theme="1"/>
        <rFont val="Calibri"/>
        <family val="2"/>
        <scheme val="minor"/>
      </rPr>
      <t>26</t>
    </r>
  </si>
  <si>
    <r>
      <t xml:space="preserve">PIB (2021): </t>
    </r>
    <r>
      <rPr>
        <sz val="11"/>
        <color theme="1"/>
        <rFont val="Calibri"/>
        <family val="2"/>
        <scheme val="minor"/>
      </rPr>
      <t>R$ 9.688.428.933,00</t>
    </r>
  </si>
  <si>
    <t>Garanhuns concentra 31,76% do PIB da RD</t>
  </si>
  <si>
    <t>IDH Municipal (2010)</t>
  </si>
  <si>
    <t>Área IBGE km² (2022)</t>
  </si>
  <si>
    <t>Águas Belas</t>
  </si>
  <si>
    <t>Angelim</t>
  </si>
  <si>
    <t>Bom Conselho</t>
  </si>
  <si>
    <t>Brejão</t>
  </si>
  <si>
    <t>Buíque</t>
  </si>
  <si>
    <t>Caetés</t>
  </si>
  <si>
    <t>Calçado</t>
  </si>
  <si>
    <t>Canhotinho</t>
  </si>
  <si>
    <t>Capoeiras</t>
  </si>
  <si>
    <t>Correntes</t>
  </si>
  <si>
    <t>Garanhuns</t>
  </si>
  <si>
    <t>Iati</t>
  </si>
  <si>
    <t>Itaíba</t>
  </si>
  <si>
    <t>Jucati</t>
  </si>
  <si>
    <t>Jupi</t>
  </si>
  <si>
    <t>Jurema</t>
  </si>
  <si>
    <t>Lagoa do Ouro</t>
  </si>
  <si>
    <t>Lajedo</t>
  </si>
  <si>
    <t>Palmeirina</t>
  </si>
  <si>
    <t>Paranatama</t>
  </si>
  <si>
    <t>Pedra</t>
  </si>
  <si>
    <t>Saloá</t>
  </si>
  <si>
    <t>São João</t>
  </si>
  <si>
    <t>Terezinha</t>
  </si>
  <si>
    <t>Tupanatinga</t>
  </si>
  <si>
    <t>Venturosa</t>
  </si>
  <si>
    <t>Tabela 1 – Índice de Desenvolvimento Humano Municipal, população, área, densidade demográfica e taxa de urbanização por município do Agreste Meridional – 2010</t>
  </si>
  <si>
    <t xml:space="preserve">RD Agreste Meridional </t>
  </si>
  <si>
    <t xml:space="preserve"> Municípios</t>
  </si>
  <si>
    <t>Tabela 6 – Equipamentos de Saúde da Rede Estadual por tipo no Agreste Meridional – 2024</t>
  </si>
  <si>
    <t>Tabela 4 – Pessoas ocupadas (absoluto), população ocupada e salário médio mensal dos trabalhadores formais por município do Agreste Meridional – 2022</t>
  </si>
  <si>
    <t>Tabela 3 – Composição do Valor Adicionado Bruto - VAB, PIB total e per capita dos municípios do Agreste Meridional – 2021</t>
  </si>
  <si>
    <t>Tabela 2 – Atendimento da população total com rede de abastecimento de água por município do Agreste Meridional – 2023</t>
  </si>
  <si>
    <t>Tabela 7 – Taxa de Mortalidade por Causas Evitáveis e de mortalidade infantil nos municípios do Agreste Meridional – 2024</t>
  </si>
  <si>
    <t>Tabela 9 – Resultados do IDEB por município do Agreste Meridional –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</si>
</sst>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00"/>
    <numFmt numFmtId="175" formatCode="0.000"/>
    <numFmt numFmtId="17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662900"/>
      <name val="Cambria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 wrapText="1" indent="5"/>
    </xf>
    <xf numFmtId="0" fontId="3" fillId="0" borderId="3" xfId="0" applyFont="1" applyBorder="1" applyAlignment="1">
      <alignment horizontal="left" vertical="center" wrapText="1" indent="4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4" fillId="0" borderId="0" xfId="0" applyFont="1" applyAlignment="1">
      <alignment horizontal="left" vertical="center" indent="15"/>
    </xf>
    <xf numFmtId="0" fontId="5" fillId="0" borderId="0" xfId="0" applyFont="1"/>
    <xf numFmtId="0" fontId="0" fillId="0" borderId="7" xfId="0" applyBorder="1"/>
    <xf numFmtId="4" fontId="0" fillId="0" borderId="7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24FC-1301-4A3B-AC74-AD5FE62DDDFD}">
  <dimension ref="A1:I77"/>
  <sheetViews>
    <sheetView tabSelected="1" topLeftCell="A49" workbookViewId="0">
      <selection activeCell="H44" sqref="H44"/>
    </sheetView>
  </sheetViews>
  <sheetFormatPr defaultRowHeight="14.4" x14ac:dyDescent="0.3"/>
  <cols>
    <col min="1" max="1" width="5.44140625" customWidth="1"/>
    <col min="2" max="2" width="27.33203125" customWidth="1"/>
    <col min="3" max="3" width="14.21875" customWidth="1"/>
    <col min="4" max="4" width="14.5546875" customWidth="1"/>
    <col min="5" max="5" width="14.33203125" customWidth="1"/>
    <col min="6" max="6" width="19.44140625" customWidth="1"/>
    <col min="7" max="7" width="23.44140625" customWidth="1"/>
    <col min="8" max="8" width="21" customWidth="1"/>
    <col min="9" max="9" width="21.21875" customWidth="1"/>
  </cols>
  <sheetData>
    <row r="1" spans="1:9" ht="17.399999999999999" x14ac:dyDescent="0.3">
      <c r="B1" s="30" t="s">
        <v>72</v>
      </c>
    </row>
    <row r="2" spans="1:9" ht="17.399999999999999" x14ac:dyDescent="0.3">
      <c r="B2" s="30" t="s">
        <v>73</v>
      </c>
    </row>
    <row r="3" spans="1:9" x14ac:dyDescent="0.3">
      <c r="B3" s="21" t="s">
        <v>63</v>
      </c>
    </row>
    <row r="4" spans="1:9" x14ac:dyDescent="0.3">
      <c r="B4" s="21" t="s">
        <v>64</v>
      </c>
    </row>
    <row r="5" spans="1:9" x14ac:dyDescent="0.3">
      <c r="B5" s="21" t="s">
        <v>65</v>
      </c>
    </row>
    <row r="6" spans="1:9" x14ac:dyDescent="0.3">
      <c r="B6" s="21" t="s">
        <v>66</v>
      </c>
    </row>
    <row r="7" spans="1:9" x14ac:dyDescent="0.3">
      <c r="B7" s="21" t="s">
        <v>67</v>
      </c>
    </row>
    <row r="8" spans="1:9" x14ac:dyDescent="0.3">
      <c r="B8" s="21" t="s">
        <v>68</v>
      </c>
    </row>
    <row r="9" spans="1:9" ht="15" thickBot="1" x14ac:dyDescent="0.35">
      <c r="B9" s="13" t="s">
        <v>33</v>
      </c>
    </row>
    <row r="10" spans="1:9" ht="42" thickBot="1" x14ac:dyDescent="0.35">
      <c r="B10" s="11" t="s">
        <v>0</v>
      </c>
      <c r="C10" s="12" t="s">
        <v>29</v>
      </c>
      <c r="D10" s="12" t="s">
        <v>1</v>
      </c>
      <c r="E10" s="12" t="s">
        <v>30</v>
      </c>
      <c r="F10" s="12" t="s">
        <v>2</v>
      </c>
      <c r="G10" s="12" t="s">
        <v>3</v>
      </c>
      <c r="H10" s="12" t="s">
        <v>69</v>
      </c>
      <c r="I10" s="12" t="s">
        <v>70</v>
      </c>
    </row>
    <row r="11" spans="1:9" ht="15" thickBot="1" x14ac:dyDescent="0.35">
      <c r="A11" s="17">
        <v>1</v>
      </c>
      <c r="B11" s="1" t="s">
        <v>4</v>
      </c>
      <c r="C11" s="2">
        <v>0.59199999999999997</v>
      </c>
      <c r="D11" s="3">
        <v>23779</v>
      </c>
      <c r="E11" s="2">
        <v>200.369</v>
      </c>
      <c r="F11" s="2">
        <v>118.68</v>
      </c>
      <c r="G11" s="4">
        <v>0.79100000000000004</v>
      </c>
      <c r="H11" s="3">
        <v>352858433</v>
      </c>
      <c r="I11" s="16">
        <v>13980.13</v>
      </c>
    </row>
    <row r="12" spans="1:9" ht="15" thickBot="1" x14ac:dyDescent="0.35">
      <c r="A12" s="17">
        <v>2</v>
      </c>
      <c r="B12" s="1" t="s">
        <v>5</v>
      </c>
      <c r="C12" s="2">
        <v>0.59899999999999998</v>
      </c>
      <c r="D12" s="3">
        <v>13542</v>
      </c>
      <c r="E12" s="2">
        <v>214.267</v>
      </c>
      <c r="F12" s="2">
        <v>63.2</v>
      </c>
      <c r="G12" s="4">
        <v>0.60499999999999998</v>
      </c>
      <c r="H12" s="3">
        <v>144944925</v>
      </c>
      <c r="I12" s="16">
        <v>9794.9</v>
      </c>
    </row>
    <row r="13" spans="1:9" ht="15" thickBot="1" x14ac:dyDescent="0.35">
      <c r="A13" s="17">
        <v>3</v>
      </c>
      <c r="B13" s="1" t="s">
        <v>6</v>
      </c>
      <c r="C13" s="2">
        <v>0.59799999999999998</v>
      </c>
      <c r="D13" s="3">
        <v>20674</v>
      </c>
      <c r="E13" s="2">
        <v>450.178</v>
      </c>
      <c r="F13" s="2">
        <v>45.92</v>
      </c>
      <c r="G13" s="4">
        <v>0.66700000000000004</v>
      </c>
      <c r="H13" s="3">
        <v>222588795</v>
      </c>
      <c r="I13" s="16">
        <v>9679.4599999999991</v>
      </c>
    </row>
    <row r="14" spans="1:9" ht="15" thickBot="1" x14ac:dyDescent="0.35">
      <c r="A14" s="17">
        <v>4</v>
      </c>
      <c r="B14" s="5" t="s">
        <v>7</v>
      </c>
      <c r="C14" s="2">
        <v>0.57699999999999996</v>
      </c>
      <c r="D14" s="3">
        <v>12263</v>
      </c>
      <c r="E14" s="2">
        <v>118.639</v>
      </c>
      <c r="F14" s="2">
        <v>103.36</v>
      </c>
      <c r="G14" s="4">
        <v>0.88200000000000001</v>
      </c>
      <c r="H14" s="3">
        <v>146942971</v>
      </c>
      <c r="I14" s="16">
        <v>10042.58</v>
      </c>
    </row>
    <row r="15" spans="1:9" ht="15" thickBot="1" x14ac:dyDescent="0.35">
      <c r="A15" s="17">
        <v>5</v>
      </c>
      <c r="B15" s="1" t="s">
        <v>8</v>
      </c>
      <c r="C15" s="2">
        <v>0.629</v>
      </c>
      <c r="D15" s="3">
        <v>79507</v>
      </c>
      <c r="E15" s="2">
        <v>647.44500000000005</v>
      </c>
      <c r="F15" s="2">
        <v>122.8</v>
      </c>
      <c r="G15" s="4">
        <v>0.85099999999999998</v>
      </c>
      <c r="H15" s="3">
        <v>2765036424</v>
      </c>
      <c r="I15" s="16">
        <v>35942.239999999998</v>
      </c>
    </row>
    <row r="16" spans="1:9" ht="15" thickBot="1" x14ac:dyDescent="0.35">
      <c r="A16" s="17">
        <v>6</v>
      </c>
      <c r="B16" s="1" t="s">
        <v>9</v>
      </c>
      <c r="C16" s="2">
        <v>0.60599999999999998</v>
      </c>
      <c r="D16" s="3">
        <v>61694</v>
      </c>
      <c r="E16" s="2">
        <v>492.63200000000001</v>
      </c>
      <c r="F16" s="2">
        <v>125.23</v>
      </c>
      <c r="G16" s="4">
        <v>0.85899999999999999</v>
      </c>
      <c r="H16" s="3">
        <v>962826016</v>
      </c>
      <c r="I16" s="16">
        <v>15794.39</v>
      </c>
    </row>
    <row r="17" spans="1:9" ht="15" thickBot="1" x14ac:dyDescent="0.35">
      <c r="A17" s="17">
        <v>7</v>
      </c>
      <c r="B17" s="1" t="s">
        <v>10</v>
      </c>
      <c r="C17" s="2">
        <v>0.56100000000000005</v>
      </c>
      <c r="D17" s="3">
        <v>37474</v>
      </c>
      <c r="E17" s="2">
        <v>393.19099999999997</v>
      </c>
      <c r="F17" s="2">
        <v>95.31</v>
      </c>
      <c r="G17" s="4">
        <v>0.76100000000000001</v>
      </c>
      <c r="H17" s="3">
        <v>539340172</v>
      </c>
      <c r="I17" s="16">
        <v>14155.54</v>
      </c>
    </row>
    <row r="18" spans="1:9" ht="15" thickBot="1" x14ac:dyDescent="0.35">
      <c r="A18" s="17">
        <v>8</v>
      </c>
      <c r="B18" s="1" t="s">
        <v>31</v>
      </c>
      <c r="C18" s="2">
        <v>0.56200000000000006</v>
      </c>
      <c r="D18" s="3">
        <v>48648</v>
      </c>
      <c r="E18" s="2">
        <v>762.346</v>
      </c>
      <c r="F18" s="2">
        <v>63.81</v>
      </c>
      <c r="G18" s="4">
        <v>0.79800000000000004</v>
      </c>
      <c r="H18" s="3">
        <v>461357176</v>
      </c>
      <c r="I18" s="16">
        <v>8924.43</v>
      </c>
    </row>
    <row r="19" spans="1:9" ht="15" thickBot="1" x14ac:dyDescent="0.35">
      <c r="A19" s="17">
        <v>9</v>
      </c>
      <c r="B19" s="1" t="s">
        <v>11</v>
      </c>
      <c r="C19" s="2">
        <v>0.57899999999999996</v>
      </c>
      <c r="D19" s="3">
        <v>19899</v>
      </c>
      <c r="E19" s="2">
        <v>179.262</v>
      </c>
      <c r="F19" s="2">
        <v>111.01</v>
      </c>
      <c r="G19" s="4">
        <v>0.83599999999999997</v>
      </c>
      <c r="H19" s="3">
        <v>254368817</v>
      </c>
      <c r="I19" s="16">
        <v>12337.22</v>
      </c>
    </row>
    <row r="20" spans="1:9" ht="15" thickBot="1" x14ac:dyDescent="0.35">
      <c r="A20" s="17">
        <v>10</v>
      </c>
      <c r="B20" s="5" t="s">
        <v>12</v>
      </c>
      <c r="C20" s="2">
        <v>0.58799999999999997</v>
      </c>
      <c r="D20" s="3">
        <v>17419</v>
      </c>
      <c r="E20" s="2">
        <v>72.010000000000005</v>
      </c>
      <c r="F20" s="2">
        <v>241.9</v>
      </c>
      <c r="G20" s="4">
        <v>0.84899999999999998</v>
      </c>
      <c r="H20" s="3">
        <v>181160709</v>
      </c>
      <c r="I20" s="16">
        <v>9518.74</v>
      </c>
    </row>
    <row r="21" spans="1:9" ht="15" thickBot="1" x14ac:dyDescent="0.35">
      <c r="A21" s="17">
        <v>11</v>
      </c>
      <c r="B21" s="1" t="s">
        <v>13</v>
      </c>
      <c r="C21" s="2">
        <v>0.67700000000000005</v>
      </c>
      <c r="D21" s="3">
        <v>378048</v>
      </c>
      <c r="E21" s="2">
        <v>923.15</v>
      </c>
      <c r="F21" s="2">
        <v>409.52</v>
      </c>
      <c r="G21" s="4">
        <v>0.92200000000000004</v>
      </c>
      <c r="H21" s="3">
        <v>8663524843</v>
      </c>
      <c r="I21" s="16">
        <v>23456.58</v>
      </c>
    </row>
    <row r="22" spans="1:9" ht="15" thickBot="1" x14ac:dyDescent="0.35">
      <c r="A22" s="17">
        <v>12</v>
      </c>
      <c r="B22" s="1" t="s">
        <v>14</v>
      </c>
      <c r="C22" s="2">
        <v>0.59199999999999997</v>
      </c>
      <c r="D22" s="3">
        <v>23518</v>
      </c>
      <c r="E22" s="2">
        <v>95.155000000000001</v>
      </c>
      <c r="F22" s="2">
        <v>247.15</v>
      </c>
      <c r="G22" s="4">
        <v>0.94299999999999995</v>
      </c>
      <c r="H22" s="3">
        <v>283576106</v>
      </c>
      <c r="I22" s="16">
        <v>11700.13</v>
      </c>
    </row>
    <row r="23" spans="1:9" ht="15" thickBot="1" x14ac:dyDescent="0.35">
      <c r="A23" s="17">
        <v>13</v>
      </c>
      <c r="B23" s="1" t="s">
        <v>15</v>
      </c>
      <c r="C23" s="2">
        <v>0.63400000000000001</v>
      </c>
      <c r="D23" s="3">
        <v>86516</v>
      </c>
      <c r="E23" s="2">
        <v>507.36</v>
      </c>
      <c r="F23" s="2">
        <v>170.52</v>
      </c>
      <c r="G23" s="4">
        <v>0.85699999999999998</v>
      </c>
      <c r="H23" s="3">
        <v>1359681438</v>
      </c>
      <c r="I23" s="16">
        <v>15938.31</v>
      </c>
    </row>
    <row r="24" spans="1:9" ht="15" thickBot="1" x14ac:dyDescent="0.35">
      <c r="A24" s="17">
        <v>14</v>
      </c>
      <c r="B24" s="1" t="s">
        <v>16</v>
      </c>
      <c r="C24" s="2">
        <v>0.57999999999999996</v>
      </c>
      <c r="D24" s="3">
        <v>7140</v>
      </c>
      <c r="E24" s="2">
        <v>189.596</v>
      </c>
      <c r="F24" s="2">
        <v>37.659999999999997</v>
      </c>
      <c r="G24" s="4">
        <v>0.45900000000000002</v>
      </c>
      <c r="H24" s="3">
        <v>85527388</v>
      </c>
      <c r="I24" s="16">
        <v>11003.14</v>
      </c>
    </row>
    <row r="25" spans="1:9" ht="15" thickBot="1" x14ac:dyDescent="0.35">
      <c r="A25" s="17">
        <v>15</v>
      </c>
      <c r="B25" s="1" t="s">
        <v>17</v>
      </c>
      <c r="C25" s="2">
        <v>0.53</v>
      </c>
      <c r="D25" s="3">
        <v>15843</v>
      </c>
      <c r="E25" s="2">
        <v>714.601</v>
      </c>
      <c r="F25" s="2">
        <v>22.17</v>
      </c>
      <c r="G25" s="4">
        <v>0.64100000000000001</v>
      </c>
      <c r="H25" s="3">
        <v>154862064</v>
      </c>
      <c r="I25" s="16">
        <v>8948.98</v>
      </c>
    </row>
    <row r="26" spans="1:9" ht="15" thickBot="1" x14ac:dyDescent="0.35">
      <c r="A26" s="17">
        <v>16</v>
      </c>
      <c r="B26" s="10" t="s">
        <v>18</v>
      </c>
      <c r="C26" s="2">
        <v>0.55100000000000005</v>
      </c>
      <c r="D26" s="3">
        <v>14076</v>
      </c>
      <c r="E26" s="2">
        <v>224.947</v>
      </c>
      <c r="F26" s="2">
        <v>62.57</v>
      </c>
      <c r="G26" s="4">
        <v>0.66600000000000004</v>
      </c>
      <c r="H26" s="3">
        <v>135442681</v>
      </c>
      <c r="I26" s="16">
        <v>8286.49</v>
      </c>
    </row>
    <row r="27" spans="1:9" ht="15" thickBot="1" x14ac:dyDescent="0.35">
      <c r="A27" s="17">
        <v>17</v>
      </c>
      <c r="B27" s="1" t="s">
        <v>19</v>
      </c>
      <c r="C27" s="2">
        <v>0.56899999999999995</v>
      </c>
      <c r="D27" s="3">
        <v>22991</v>
      </c>
      <c r="E27" s="2">
        <v>380.428</v>
      </c>
      <c r="F27" s="2">
        <v>60.43</v>
      </c>
      <c r="G27" s="4">
        <v>0.623</v>
      </c>
      <c r="H27" s="3">
        <v>229556335</v>
      </c>
      <c r="I27" s="16">
        <v>8682.82</v>
      </c>
    </row>
    <row r="28" spans="1:9" ht="15" thickBot="1" x14ac:dyDescent="0.35">
      <c r="A28" s="17">
        <v>18</v>
      </c>
      <c r="B28" s="1" t="s">
        <v>20</v>
      </c>
      <c r="C28" s="2">
        <v>0.61</v>
      </c>
      <c r="D28" s="3">
        <v>62722</v>
      </c>
      <c r="E28" s="2">
        <v>960.04200000000003</v>
      </c>
      <c r="F28" s="2">
        <v>65.33</v>
      </c>
      <c r="G28" s="4">
        <v>0.72599999999999998</v>
      </c>
      <c r="H28" s="3">
        <v>869650980</v>
      </c>
      <c r="I28" s="16">
        <v>12776.4</v>
      </c>
    </row>
    <row r="29" spans="1:9" ht="15" thickBot="1" x14ac:dyDescent="0.35">
      <c r="A29" s="17">
        <v>19</v>
      </c>
      <c r="B29" s="1" t="s">
        <v>21</v>
      </c>
      <c r="C29" s="2">
        <v>0.52800000000000002</v>
      </c>
      <c r="D29" s="3">
        <v>10500</v>
      </c>
      <c r="E29" s="2">
        <v>205.119</v>
      </c>
      <c r="F29" s="2">
        <v>51.19</v>
      </c>
      <c r="G29" s="4">
        <v>0.64400000000000002</v>
      </c>
      <c r="H29" s="3">
        <v>102107077</v>
      </c>
      <c r="I29" s="16">
        <v>9029.6299999999992</v>
      </c>
    </row>
    <row r="30" spans="1:9" ht="15" thickBot="1" x14ac:dyDescent="0.35">
      <c r="A30" s="17">
        <v>20</v>
      </c>
      <c r="B30" s="1" t="s">
        <v>22</v>
      </c>
      <c r="C30" s="2">
        <v>0.59799999999999998</v>
      </c>
      <c r="D30" s="3">
        <v>27552</v>
      </c>
      <c r="E30" s="2">
        <v>239.83199999999999</v>
      </c>
      <c r="F30" s="2">
        <v>114.88</v>
      </c>
      <c r="G30" s="4">
        <v>0.65</v>
      </c>
      <c r="H30" s="3">
        <v>532583088</v>
      </c>
      <c r="I30" s="16">
        <v>19577.38</v>
      </c>
    </row>
    <row r="31" spans="1:9" ht="15" thickBot="1" x14ac:dyDescent="0.35">
      <c r="A31" s="17">
        <v>21</v>
      </c>
      <c r="B31" s="10" t="s">
        <v>23</v>
      </c>
      <c r="C31" s="2">
        <v>0.56999999999999995</v>
      </c>
      <c r="D31" s="3">
        <v>20639</v>
      </c>
      <c r="E31" s="2">
        <v>314.00299999999999</v>
      </c>
      <c r="F31" s="2">
        <v>65.73</v>
      </c>
      <c r="G31" s="4">
        <v>0.51100000000000001</v>
      </c>
      <c r="H31" s="3">
        <v>260563146</v>
      </c>
      <c r="I31" s="16">
        <v>12560.89</v>
      </c>
    </row>
    <row r="32" spans="1:9" ht="15" thickBot="1" x14ac:dyDescent="0.35">
      <c r="A32" s="17">
        <v>22</v>
      </c>
      <c r="B32" s="1" t="s">
        <v>24</v>
      </c>
      <c r="C32" s="2">
        <v>0.58499999999999996</v>
      </c>
      <c r="D32" s="3">
        <v>10887</v>
      </c>
      <c r="E32" s="2">
        <v>190.45500000000001</v>
      </c>
      <c r="F32" s="2">
        <v>57.16</v>
      </c>
      <c r="G32" s="4">
        <v>0.60299999999999998</v>
      </c>
      <c r="H32" s="3">
        <v>176225317</v>
      </c>
      <c r="I32" s="16">
        <v>18356.8</v>
      </c>
    </row>
    <row r="33" spans="1:9" ht="15" thickBot="1" x14ac:dyDescent="0.35">
      <c r="A33" s="17">
        <v>23</v>
      </c>
      <c r="B33" s="1" t="s">
        <v>25</v>
      </c>
      <c r="C33" s="2">
        <v>0.60299999999999998</v>
      </c>
      <c r="D33" s="3">
        <v>18624</v>
      </c>
      <c r="E33" s="2">
        <v>268.065</v>
      </c>
      <c r="F33" s="2">
        <v>69.48</v>
      </c>
      <c r="G33" s="4">
        <v>0.76300000000000001</v>
      </c>
      <c r="H33" s="3">
        <v>248264475</v>
      </c>
      <c r="I33" s="16">
        <v>9091.27</v>
      </c>
    </row>
    <row r="34" spans="1:9" ht="15" thickBot="1" x14ac:dyDescent="0.35">
      <c r="A34" s="17">
        <v>24</v>
      </c>
      <c r="B34" s="1" t="s">
        <v>32</v>
      </c>
      <c r="C34" s="2">
        <v>0.59299999999999997</v>
      </c>
      <c r="D34" s="3">
        <v>49449</v>
      </c>
      <c r="E34" s="2">
        <v>719.14800000000002</v>
      </c>
      <c r="F34" s="2">
        <v>68.760000000000005</v>
      </c>
      <c r="G34" s="4">
        <v>0.60499999999999998</v>
      </c>
      <c r="H34" s="3">
        <v>1485705930</v>
      </c>
      <c r="I34" s="16">
        <v>24529.96</v>
      </c>
    </row>
    <row r="35" spans="1:9" ht="15" thickBot="1" x14ac:dyDescent="0.35">
      <c r="A35" s="17">
        <v>25</v>
      </c>
      <c r="B35" s="1" t="s">
        <v>26</v>
      </c>
      <c r="C35" s="2">
        <v>0.59099999999999997</v>
      </c>
      <c r="D35" s="3">
        <v>37126</v>
      </c>
      <c r="E35" s="2">
        <v>382.483</v>
      </c>
      <c r="F35" s="2">
        <v>97.07</v>
      </c>
      <c r="G35" s="4">
        <v>0.79200000000000004</v>
      </c>
      <c r="H35" s="3">
        <v>447678660</v>
      </c>
      <c r="I35" s="16">
        <v>11941.92</v>
      </c>
    </row>
    <row r="36" spans="1:9" ht="15" thickBot="1" x14ac:dyDescent="0.35">
      <c r="A36" s="17">
        <v>26</v>
      </c>
      <c r="B36" s="10" t="s">
        <v>27</v>
      </c>
      <c r="C36" s="2">
        <v>0.53700000000000003</v>
      </c>
      <c r="D36" s="3">
        <v>20037</v>
      </c>
      <c r="E36" s="2">
        <v>227.38499999999999</v>
      </c>
      <c r="F36" s="2">
        <v>88.12</v>
      </c>
      <c r="G36" s="4">
        <v>0.73699999999999999</v>
      </c>
      <c r="H36" s="3">
        <v>185466682</v>
      </c>
      <c r="I36" s="16">
        <v>8650.9</v>
      </c>
    </row>
    <row r="37" spans="1:9" x14ac:dyDescent="0.3">
      <c r="A37" s="17">
        <v>27</v>
      </c>
      <c r="B37" s="6" t="s">
        <v>28</v>
      </c>
      <c r="C37" s="7">
        <v>0.55400000000000005</v>
      </c>
      <c r="D37" s="8">
        <v>13738</v>
      </c>
      <c r="E37" s="7">
        <v>227.601</v>
      </c>
      <c r="F37" s="7">
        <v>60.36</v>
      </c>
      <c r="G37" s="9">
        <v>0.56699999999999995</v>
      </c>
      <c r="H37" s="8">
        <v>149158911</v>
      </c>
      <c r="I37" s="22">
        <v>11614.02</v>
      </c>
    </row>
    <row r="38" spans="1:9" x14ac:dyDescent="0.3">
      <c r="B38" s="23" t="s">
        <v>71</v>
      </c>
      <c r="C38" s="24">
        <f>AVERAGE(C11:C37)</f>
        <v>0.58492592592592585</v>
      </c>
      <c r="D38" s="25">
        <f>SUM(D11:D37)</f>
        <v>1154305</v>
      </c>
      <c r="E38" s="26">
        <f>SUM(E11:E37)</f>
        <v>10299.709000000001</v>
      </c>
      <c r="F38" s="27">
        <f>D38/E38</f>
        <v>112.07161289702456</v>
      </c>
      <c r="G38" s="28">
        <f>AVERAGE(G11:G37)</f>
        <v>0.72622222222222221</v>
      </c>
      <c r="H38" s="25">
        <f>SUM(H11:H37)</f>
        <v>21400999559</v>
      </c>
      <c r="I38" s="33">
        <f>H38/D38</f>
        <v>18540.16014744803</v>
      </c>
    </row>
    <row r="40" spans="1:9" s="31" customFormat="1" ht="18" x14ac:dyDescent="0.35">
      <c r="B40" s="30" t="s">
        <v>74</v>
      </c>
    </row>
    <row r="41" spans="1:9" s="31" customFormat="1" ht="18" x14ac:dyDescent="0.35">
      <c r="B41" s="30" t="s">
        <v>75</v>
      </c>
    </row>
    <row r="42" spans="1:9" x14ac:dyDescent="0.3">
      <c r="B42" s="21" t="s">
        <v>76</v>
      </c>
    </row>
    <row r="43" spans="1:9" x14ac:dyDescent="0.3">
      <c r="B43" s="21" t="s">
        <v>77</v>
      </c>
    </row>
    <row r="44" spans="1:9" x14ac:dyDescent="0.3">
      <c r="B44" s="21" t="s">
        <v>78</v>
      </c>
    </row>
    <row r="45" spans="1:9" x14ac:dyDescent="0.3">
      <c r="B45" s="21" t="s">
        <v>79</v>
      </c>
    </row>
    <row r="46" spans="1:9" x14ac:dyDescent="0.3">
      <c r="B46" s="21" t="s">
        <v>80</v>
      </c>
    </row>
    <row r="47" spans="1:9" x14ac:dyDescent="0.3">
      <c r="B47" s="21" t="s">
        <v>81</v>
      </c>
    </row>
    <row r="48" spans="1:9" x14ac:dyDescent="0.3">
      <c r="B48" s="21"/>
    </row>
    <row r="49" spans="1:9" ht="15" thickBot="1" x14ac:dyDescent="0.35">
      <c r="B49" s="13" t="s">
        <v>110</v>
      </c>
    </row>
    <row r="50" spans="1:9" ht="42" thickBot="1" x14ac:dyDescent="0.35">
      <c r="B50" s="11" t="s">
        <v>0</v>
      </c>
      <c r="C50" s="12" t="s">
        <v>82</v>
      </c>
      <c r="D50" s="12" t="s">
        <v>1</v>
      </c>
      <c r="E50" s="12" t="s">
        <v>83</v>
      </c>
      <c r="F50" s="12" t="s">
        <v>2</v>
      </c>
      <c r="G50" s="12" t="s">
        <v>3</v>
      </c>
      <c r="H50" s="12" t="s">
        <v>69</v>
      </c>
      <c r="I50" s="12" t="s">
        <v>70</v>
      </c>
    </row>
    <row r="51" spans="1:9" ht="15" thickBot="1" x14ac:dyDescent="0.35">
      <c r="A51" s="17">
        <v>1</v>
      </c>
      <c r="B51" s="1" t="s">
        <v>84</v>
      </c>
      <c r="C51" s="2">
        <v>0.52600000000000002</v>
      </c>
      <c r="D51" s="3">
        <v>41548</v>
      </c>
      <c r="E51" s="2">
        <v>885.98800000000006</v>
      </c>
      <c r="F51" s="2">
        <v>46.89</v>
      </c>
      <c r="G51" s="4">
        <v>0.64900000000000002</v>
      </c>
      <c r="H51" s="16">
        <v>401110734</v>
      </c>
      <c r="I51" s="16">
        <v>9132.1299999999992</v>
      </c>
    </row>
    <row r="52" spans="1:9" ht="15" thickBot="1" x14ac:dyDescent="0.35">
      <c r="A52" s="17">
        <v>2</v>
      </c>
      <c r="B52" s="1" t="s">
        <v>85</v>
      </c>
      <c r="C52" s="2">
        <v>0.57199999999999995</v>
      </c>
      <c r="D52" s="3">
        <v>10241</v>
      </c>
      <c r="E52" s="2">
        <v>118.08799999999999</v>
      </c>
      <c r="F52" s="2">
        <v>86.72</v>
      </c>
      <c r="G52" s="4">
        <v>0.64200000000000002</v>
      </c>
      <c r="H52" s="16">
        <v>142259856</v>
      </c>
      <c r="I52" s="16">
        <v>12588.25</v>
      </c>
    </row>
    <row r="53" spans="1:9" ht="15" thickBot="1" x14ac:dyDescent="0.35">
      <c r="A53" s="17">
        <v>3</v>
      </c>
      <c r="B53" s="1" t="s">
        <v>86</v>
      </c>
      <c r="C53" s="2">
        <v>0.56299999999999994</v>
      </c>
      <c r="D53" s="3">
        <v>44294</v>
      </c>
      <c r="E53" s="2">
        <v>792.18499999999995</v>
      </c>
      <c r="F53" s="2">
        <v>55.91</v>
      </c>
      <c r="G53" s="4">
        <v>0.68799999999999994</v>
      </c>
      <c r="H53" s="16">
        <v>643150606</v>
      </c>
      <c r="I53" s="16">
        <v>13132.22</v>
      </c>
    </row>
    <row r="54" spans="1:9" ht="15" thickBot="1" x14ac:dyDescent="0.35">
      <c r="A54" s="17">
        <v>4</v>
      </c>
      <c r="B54" s="1" t="s">
        <v>87</v>
      </c>
      <c r="C54" s="2">
        <v>0.54700000000000004</v>
      </c>
      <c r="D54" s="3">
        <v>9079</v>
      </c>
      <c r="E54" s="2">
        <v>159.786</v>
      </c>
      <c r="F54" s="2">
        <v>56.82</v>
      </c>
      <c r="G54" s="4">
        <v>0.41</v>
      </c>
      <c r="H54" s="16">
        <v>183678548</v>
      </c>
      <c r="I54" s="16">
        <v>20451.900000000001</v>
      </c>
    </row>
    <row r="55" spans="1:9" ht="15" thickBot="1" x14ac:dyDescent="0.35">
      <c r="A55" s="17">
        <v>5</v>
      </c>
      <c r="B55" s="1" t="s">
        <v>88</v>
      </c>
      <c r="C55" s="2">
        <v>0.52700000000000002</v>
      </c>
      <c r="D55" s="3">
        <v>52097</v>
      </c>
      <c r="E55" s="2">
        <v>1336.5440000000001</v>
      </c>
      <c r="F55" s="2">
        <v>38.979999999999997</v>
      </c>
      <c r="G55" s="4">
        <v>0.42899999999999999</v>
      </c>
      <c r="H55" s="16">
        <v>549014687</v>
      </c>
      <c r="I55" s="16">
        <v>9235.2099999999991</v>
      </c>
    </row>
    <row r="56" spans="1:9" ht="15" thickBot="1" x14ac:dyDescent="0.35">
      <c r="A56" s="17">
        <v>6</v>
      </c>
      <c r="B56" s="1" t="s">
        <v>89</v>
      </c>
      <c r="C56" s="2">
        <v>0.52200000000000002</v>
      </c>
      <c r="D56" s="3">
        <v>28827</v>
      </c>
      <c r="E56" s="2">
        <v>294.94600000000003</v>
      </c>
      <c r="F56" s="2">
        <v>97.74</v>
      </c>
      <c r="G56" s="4">
        <v>0.30399999999999999</v>
      </c>
      <c r="H56" s="16">
        <v>423726620</v>
      </c>
      <c r="I56" s="16">
        <v>14578.59</v>
      </c>
    </row>
    <row r="57" spans="1:9" ht="15" thickBot="1" x14ac:dyDescent="0.35">
      <c r="A57" s="17">
        <v>7</v>
      </c>
      <c r="B57" s="1" t="s">
        <v>90</v>
      </c>
      <c r="C57" s="2">
        <v>0.56599999999999995</v>
      </c>
      <c r="D57" s="3">
        <v>11093</v>
      </c>
      <c r="E57" s="2">
        <v>121.94499999999999</v>
      </c>
      <c r="F57" s="2">
        <v>90.97</v>
      </c>
      <c r="G57" s="4">
        <v>0.33900000000000002</v>
      </c>
      <c r="H57" s="16">
        <v>115298866</v>
      </c>
      <c r="I57" s="16">
        <v>10497.94</v>
      </c>
    </row>
    <row r="58" spans="1:9" ht="15" thickBot="1" x14ac:dyDescent="0.35">
      <c r="A58" s="17">
        <v>8</v>
      </c>
      <c r="B58" s="1" t="s">
        <v>91</v>
      </c>
      <c r="C58" s="2">
        <v>0.54100000000000004</v>
      </c>
      <c r="D58" s="3">
        <v>24329</v>
      </c>
      <c r="E58" s="2">
        <v>423.16800000000001</v>
      </c>
      <c r="F58" s="2">
        <v>57.49</v>
      </c>
      <c r="G58" s="4">
        <v>0.67600000000000005</v>
      </c>
      <c r="H58" s="16">
        <v>253171467</v>
      </c>
      <c r="I58" s="16">
        <v>10232.040000000001</v>
      </c>
    </row>
    <row r="59" spans="1:9" ht="15" thickBot="1" x14ac:dyDescent="0.35">
      <c r="A59" s="17">
        <v>9</v>
      </c>
      <c r="B59" s="1" t="s">
        <v>92</v>
      </c>
      <c r="C59" s="2">
        <v>0.54900000000000004</v>
      </c>
      <c r="D59" s="3">
        <v>18338</v>
      </c>
      <c r="E59" s="2">
        <v>337.13</v>
      </c>
      <c r="F59" s="2">
        <v>54.39</v>
      </c>
      <c r="G59" s="4">
        <v>0.36699999999999999</v>
      </c>
      <c r="H59" s="16">
        <v>244053554</v>
      </c>
      <c r="I59" s="16">
        <v>12173.46</v>
      </c>
    </row>
    <row r="60" spans="1:9" ht="15" thickBot="1" x14ac:dyDescent="0.35">
      <c r="A60" s="17">
        <v>10</v>
      </c>
      <c r="B60" s="1" t="s">
        <v>93</v>
      </c>
      <c r="C60" s="2">
        <v>0.53600000000000003</v>
      </c>
      <c r="D60" s="3">
        <v>17131</v>
      </c>
      <c r="E60" s="2">
        <v>317.79300000000001</v>
      </c>
      <c r="F60" s="2">
        <v>53.91</v>
      </c>
      <c r="G60" s="4">
        <v>0.60499999999999998</v>
      </c>
      <c r="H60" s="16">
        <v>192015502</v>
      </c>
      <c r="I60" s="16">
        <v>10477.19</v>
      </c>
    </row>
    <row r="61" spans="1:9" ht="15" thickBot="1" x14ac:dyDescent="0.35">
      <c r="A61" s="17">
        <v>11</v>
      </c>
      <c r="B61" s="1" t="s">
        <v>94</v>
      </c>
      <c r="C61" s="2">
        <v>0.66400000000000003</v>
      </c>
      <c r="D61" s="3">
        <v>142506</v>
      </c>
      <c r="E61" s="2">
        <v>458.55200000000002</v>
      </c>
      <c r="F61" s="2">
        <v>310.77</v>
      </c>
      <c r="G61" s="4">
        <v>0.90900000000000003</v>
      </c>
      <c r="H61" s="16">
        <v>3077111825</v>
      </c>
      <c r="I61" s="16">
        <v>21769.91</v>
      </c>
    </row>
    <row r="62" spans="1:9" ht="15" thickBot="1" x14ac:dyDescent="0.35">
      <c r="A62" s="17">
        <v>12</v>
      </c>
      <c r="B62" s="1" t="s">
        <v>95</v>
      </c>
      <c r="C62" s="2">
        <v>0.52800000000000002</v>
      </c>
      <c r="D62" s="3">
        <v>17165</v>
      </c>
      <c r="E62" s="2">
        <v>635.13699999999994</v>
      </c>
      <c r="F62" s="2">
        <v>27.03</v>
      </c>
      <c r="G62" s="4">
        <v>0.47</v>
      </c>
      <c r="H62" s="16">
        <v>195800310</v>
      </c>
      <c r="I62" s="16">
        <v>10153.51</v>
      </c>
    </row>
    <row r="63" spans="1:9" ht="15" thickBot="1" x14ac:dyDescent="0.35">
      <c r="A63" s="17">
        <v>13</v>
      </c>
      <c r="B63" s="1" t="s">
        <v>96</v>
      </c>
      <c r="C63" s="2">
        <v>0.51</v>
      </c>
      <c r="D63" s="3">
        <v>32650</v>
      </c>
      <c r="E63" s="2">
        <v>1061.694</v>
      </c>
      <c r="F63" s="2">
        <v>30.75</v>
      </c>
      <c r="G63" s="4">
        <v>0.34100000000000003</v>
      </c>
      <c r="H63" s="16">
        <v>283413471</v>
      </c>
      <c r="I63" s="16">
        <v>10789.31</v>
      </c>
    </row>
    <row r="64" spans="1:9" ht="15" thickBot="1" x14ac:dyDescent="0.35">
      <c r="A64" s="17">
        <v>14</v>
      </c>
      <c r="B64" s="1" t="s">
        <v>97</v>
      </c>
      <c r="C64" s="2">
        <v>0.55000000000000004</v>
      </c>
      <c r="D64" s="3">
        <v>11517</v>
      </c>
      <c r="E64" s="2">
        <v>120.527</v>
      </c>
      <c r="F64" s="2">
        <v>95.56</v>
      </c>
      <c r="G64" s="4">
        <v>0.45600000000000002</v>
      </c>
      <c r="H64" s="16">
        <v>129269988</v>
      </c>
      <c r="I64" s="16">
        <v>11197.05</v>
      </c>
    </row>
    <row r="65" spans="1:9" ht="15" thickBot="1" x14ac:dyDescent="0.35">
      <c r="A65" s="17">
        <v>15</v>
      </c>
      <c r="B65" s="1" t="s">
        <v>98</v>
      </c>
      <c r="C65" s="2">
        <v>0.57499999999999996</v>
      </c>
      <c r="D65" s="3">
        <v>15329</v>
      </c>
      <c r="E65" s="2">
        <v>104.83499999999999</v>
      </c>
      <c r="F65" s="2">
        <v>146.22</v>
      </c>
      <c r="G65" s="4">
        <v>0.65400000000000003</v>
      </c>
      <c r="H65" s="16">
        <v>214224309</v>
      </c>
      <c r="I65" s="16">
        <v>14274.96</v>
      </c>
    </row>
    <row r="66" spans="1:9" ht="15" thickBot="1" x14ac:dyDescent="0.35">
      <c r="A66" s="17">
        <v>16</v>
      </c>
      <c r="B66" s="1" t="s">
        <v>99</v>
      </c>
      <c r="C66" s="2">
        <v>0.50900000000000001</v>
      </c>
      <c r="D66" s="3">
        <v>13648</v>
      </c>
      <c r="E66" s="2">
        <v>148.25399999999999</v>
      </c>
      <c r="F66" s="2">
        <v>92.06</v>
      </c>
      <c r="G66" s="4">
        <v>0.79600000000000004</v>
      </c>
      <c r="H66" s="16">
        <v>132839971</v>
      </c>
      <c r="I66" s="16">
        <v>8579.73</v>
      </c>
    </row>
    <row r="67" spans="1:9" ht="15" thickBot="1" x14ac:dyDescent="0.35">
      <c r="A67" s="17">
        <v>17</v>
      </c>
      <c r="B67" s="1" t="s">
        <v>100</v>
      </c>
      <c r="C67" s="2">
        <v>0.52500000000000002</v>
      </c>
      <c r="D67" s="3">
        <v>11933</v>
      </c>
      <c r="E67" s="2">
        <v>198.762</v>
      </c>
      <c r="F67" s="2">
        <v>60.04</v>
      </c>
      <c r="G67" s="4">
        <v>0.57099999999999995</v>
      </c>
      <c r="H67" s="16">
        <v>139223059</v>
      </c>
      <c r="I67" s="16">
        <v>10467.9</v>
      </c>
    </row>
    <row r="68" spans="1:9" ht="15" thickBot="1" x14ac:dyDescent="0.35">
      <c r="A68" s="17">
        <v>18</v>
      </c>
      <c r="B68" s="1" t="s">
        <v>101</v>
      </c>
      <c r="C68" s="2">
        <v>0.61099999999999999</v>
      </c>
      <c r="D68" s="3">
        <v>39582</v>
      </c>
      <c r="E68" s="2">
        <v>189.096</v>
      </c>
      <c r="F68" s="2">
        <v>209.32</v>
      </c>
      <c r="G68" s="4">
        <v>0.80600000000000005</v>
      </c>
      <c r="H68" s="16">
        <v>585575816</v>
      </c>
      <c r="I68" s="16">
        <v>14323.21</v>
      </c>
    </row>
    <row r="69" spans="1:9" ht="15" thickBot="1" x14ac:dyDescent="0.35">
      <c r="A69" s="17">
        <v>19</v>
      </c>
      <c r="B69" s="1" t="s">
        <v>102</v>
      </c>
      <c r="C69" s="2">
        <v>0.54900000000000004</v>
      </c>
      <c r="D69" s="3">
        <v>7031</v>
      </c>
      <c r="E69" s="2">
        <v>168.79599999999999</v>
      </c>
      <c r="F69" s="2">
        <v>41.65</v>
      </c>
      <c r="G69" s="4">
        <v>0.64800000000000002</v>
      </c>
      <c r="H69" s="16">
        <v>79959020</v>
      </c>
      <c r="I69" s="16">
        <v>10648.42</v>
      </c>
    </row>
    <row r="70" spans="1:9" ht="15" thickBot="1" x14ac:dyDescent="0.35">
      <c r="A70" s="17">
        <v>20</v>
      </c>
      <c r="B70" s="1" t="s">
        <v>103</v>
      </c>
      <c r="C70" s="2">
        <v>0.53700000000000003</v>
      </c>
      <c r="D70" s="3">
        <v>12199</v>
      </c>
      <c r="E70" s="2">
        <v>185.37100000000001</v>
      </c>
      <c r="F70" s="2">
        <v>65.81</v>
      </c>
      <c r="G70" s="4">
        <v>0.20799999999999999</v>
      </c>
      <c r="H70" s="16">
        <v>285773328</v>
      </c>
      <c r="I70" s="16">
        <v>24618.65</v>
      </c>
    </row>
    <row r="71" spans="1:9" ht="15" thickBot="1" x14ac:dyDescent="0.35">
      <c r="A71" s="17">
        <v>21</v>
      </c>
      <c r="B71" s="1" t="s">
        <v>104</v>
      </c>
      <c r="C71" s="2">
        <v>0.56699999999999995</v>
      </c>
      <c r="D71" s="3">
        <v>22795</v>
      </c>
      <c r="E71" s="2">
        <v>922.60199999999998</v>
      </c>
      <c r="F71" s="2">
        <v>24.71</v>
      </c>
      <c r="G71" s="4">
        <v>0.55300000000000005</v>
      </c>
      <c r="H71" s="16">
        <v>306398452</v>
      </c>
      <c r="I71" s="16">
        <v>13488.22</v>
      </c>
    </row>
    <row r="72" spans="1:9" ht="15" thickBot="1" x14ac:dyDescent="0.35">
      <c r="A72" s="17">
        <v>22</v>
      </c>
      <c r="B72" s="1" t="s">
        <v>105</v>
      </c>
      <c r="C72" s="2">
        <v>0.55900000000000005</v>
      </c>
      <c r="D72" s="3">
        <v>13836</v>
      </c>
      <c r="E72" s="2">
        <v>251.54900000000001</v>
      </c>
      <c r="F72" s="2">
        <v>55</v>
      </c>
      <c r="G72" s="4">
        <v>0.58599999999999997</v>
      </c>
      <c r="H72" s="16">
        <v>171050925</v>
      </c>
      <c r="I72" s="16">
        <v>10771.47</v>
      </c>
    </row>
    <row r="73" spans="1:9" ht="15" thickBot="1" x14ac:dyDescent="0.35">
      <c r="A73" s="17">
        <v>23</v>
      </c>
      <c r="B73" s="1" t="s">
        <v>106</v>
      </c>
      <c r="C73" s="2">
        <v>0.56999999999999995</v>
      </c>
      <c r="D73" s="3">
        <v>23837</v>
      </c>
      <c r="E73" s="2">
        <v>258.51900000000001</v>
      </c>
      <c r="F73" s="2">
        <v>92.21</v>
      </c>
      <c r="G73" s="4">
        <v>0.54200000000000004</v>
      </c>
      <c r="H73" s="16">
        <v>390210544</v>
      </c>
      <c r="I73" s="16">
        <v>16964.2</v>
      </c>
    </row>
    <row r="74" spans="1:9" ht="15" thickBot="1" x14ac:dyDescent="0.35">
      <c r="A74" s="17">
        <v>24</v>
      </c>
      <c r="B74" s="1" t="s">
        <v>107</v>
      </c>
      <c r="C74" s="2">
        <v>0.54500000000000004</v>
      </c>
      <c r="D74" s="3">
        <v>6513</v>
      </c>
      <c r="E74" s="2">
        <v>151.44999999999999</v>
      </c>
      <c r="F74" s="2">
        <v>43</v>
      </c>
      <c r="G74" s="4">
        <v>0.503</v>
      </c>
      <c r="H74" s="16">
        <v>75618355</v>
      </c>
      <c r="I74" s="16">
        <v>10463.31</v>
      </c>
    </row>
    <row r="75" spans="1:9" ht="15" thickBot="1" x14ac:dyDescent="0.35">
      <c r="A75" s="17">
        <v>25</v>
      </c>
      <c r="B75" s="1" t="s">
        <v>108</v>
      </c>
      <c r="C75" s="2">
        <v>0.51900000000000002</v>
      </c>
      <c r="D75" s="3">
        <v>26937</v>
      </c>
      <c r="E75" s="2">
        <v>934.80100000000004</v>
      </c>
      <c r="F75" s="2">
        <v>28.82</v>
      </c>
      <c r="G75" s="4">
        <v>0.39300000000000002</v>
      </c>
      <c r="H75" s="16">
        <v>227130162</v>
      </c>
      <c r="I75" s="16">
        <v>8172.21</v>
      </c>
    </row>
    <row r="76" spans="1:9" x14ac:dyDescent="0.3">
      <c r="A76" s="17">
        <v>26</v>
      </c>
      <c r="B76" s="6" t="s">
        <v>109</v>
      </c>
      <c r="C76" s="7">
        <v>0.59199999999999997</v>
      </c>
      <c r="D76" s="8">
        <v>17251</v>
      </c>
      <c r="E76" s="7">
        <v>336.10700000000003</v>
      </c>
      <c r="F76" s="7">
        <v>51.33</v>
      </c>
      <c r="G76" s="9">
        <v>0.65300000000000002</v>
      </c>
      <c r="H76" s="22">
        <v>247348959</v>
      </c>
      <c r="I76" s="22">
        <v>13132.41</v>
      </c>
    </row>
    <row r="77" spans="1:9" x14ac:dyDescent="0.3">
      <c r="B77" s="23" t="s">
        <v>111</v>
      </c>
      <c r="C77" s="32">
        <f>AVERAGE(C51:C76)</f>
        <v>0.55226923076923085</v>
      </c>
      <c r="D77" s="25">
        <f>SUM(D51:D76)</f>
        <v>671706</v>
      </c>
      <c r="E77" s="33">
        <f>SUM(E51:E76)</f>
        <v>10913.625000000002</v>
      </c>
      <c r="F77" s="29">
        <f>D77/E77</f>
        <v>61.547469333058437</v>
      </c>
      <c r="G77" s="28">
        <f>AVERAGE(G51:G76)</f>
        <v>0.54607692307692313</v>
      </c>
      <c r="H77" s="33">
        <f>SUM(H51:H76)</f>
        <v>9688428934</v>
      </c>
      <c r="I77" s="33">
        <f>H77/D77</f>
        <v>14423.615293000212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F707-2123-4323-85C6-1D64D79C70F5}">
  <dimension ref="A2:C59"/>
  <sheetViews>
    <sheetView topLeftCell="A23" workbookViewId="0">
      <selection activeCell="F37" sqref="F37"/>
    </sheetView>
  </sheetViews>
  <sheetFormatPr defaultRowHeight="14.4" x14ac:dyDescent="0.3"/>
  <cols>
    <col min="1" max="1" width="4.44140625" customWidth="1"/>
    <col min="2" max="2" width="26.44140625" customWidth="1"/>
    <col min="3" max="3" width="34.21875" customWidth="1"/>
  </cols>
  <sheetData>
    <row r="2" spans="1:3" ht="15" thickBot="1" x14ac:dyDescent="0.35">
      <c r="B2" s="13" t="s">
        <v>43</v>
      </c>
    </row>
    <row r="3" spans="1:3" ht="30" customHeight="1" thickBot="1" x14ac:dyDescent="0.35">
      <c r="B3" s="11" t="s">
        <v>0</v>
      </c>
      <c r="C3" s="12" t="s">
        <v>34</v>
      </c>
    </row>
    <row r="4" spans="1:3" ht="15" thickBot="1" x14ac:dyDescent="0.35">
      <c r="A4" s="17">
        <v>1</v>
      </c>
      <c r="B4" s="1" t="s">
        <v>4</v>
      </c>
      <c r="C4" s="2">
        <v>82.69</v>
      </c>
    </row>
    <row r="5" spans="1:3" ht="15" thickBot="1" x14ac:dyDescent="0.35">
      <c r="A5" s="17">
        <v>2</v>
      </c>
      <c r="B5" s="1" t="s">
        <v>5</v>
      </c>
      <c r="C5" s="2">
        <v>50.76</v>
      </c>
    </row>
    <row r="6" spans="1:3" ht="15" thickBot="1" x14ac:dyDescent="0.35">
      <c r="A6" s="17">
        <v>3</v>
      </c>
      <c r="B6" s="1" t="s">
        <v>6</v>
      </c>
      <c r="C6" s="2">
        <v>66.59</v>
      </c>
    </row>
    <row r="7" spans="1:3" ht="15" thickBot="1" x14ac:dyDescent="0.35">
      <c r="A7" s="17">
        <v>4</v>
      </c>
      <c r="B7" s="1" t="s">
        <v>7</v>
      </c>
      <c r="C7" s="2">
        <v>94.15</v>
      </c>
    </row>
    <row r="8" spans="1:3" ht="15" thickBot="1" x14ac:dyDescent="0.35">
      <c r="A8" s="17">
        <v>5</v>
      </c>
      <c r="B8" s="1" t="s">
        <v>8</v>
      </c>
      <c r="C8" s="2">
        <v>100</v>
      </c>
    </row>
    <row r="9" spans="1:3" ht="15" thickBot="1" x14ac:dyDescent="0.35">
      <c r="A9" s="17">
        <v>6</v>
      </c>
      <c r="B9" s="1" t="s">
        <v>9</v>
      </c>
      <c r="C9" s="2">
        <v>82.97</v>
      </c>
    </row>
    <row r="10" spans="1:3" ht="15" thickBot="1" x14ac:dyDescent="0.35">
      <c r="A10" s="17">
        <v>7</v>
      </c>
      <c r="B10" s="1" t="s">
        <v>10</v>
      </c>
      <c r="C10" s="2">
        <v>70.7</v>
      </c>
    </row>
    <row r="11" spans="1:3" ht="15" thickBot="1" x14ac:dyDescent="0.35">
      <c r="A11" s="17">
        <v>8</v>
      </c>
      <c r="B11" s="1" t="s">
        <v>31</v>
      </c>
      <c r="C11" s="2">
        <v>50.22</v>
      </c>
    </row>
    <row r="12" spans="1:3" ht="15" thickBot="1" x14ac:dyDescent="0.35">
      <c r="A12" s="17">
        <v>9</v>
      </c>
      <c r="B12" s="1" t="s">
        <v>11</v>
      </c>
      <c r="C12" s="2">
        <v>86.81</v>
      </c>
    </row>
    <row r="13" spans="1:3" ht="15" thickBot="1" x14ac:dyDescent="0.35">
      <c r="A13" s="17">
        <v>10</v>
      </c>
      <c r="B13" s="1" t="s">
        <v>12</v>
      </c>
      <c r="C13" s="2">
        <v>76.66</v>
      </c>
    </row>
    <row r="14" spans="1:3" ht="15" thickBot="1" x14ac:dyDescent="0.35">
      <c r="A14" s="17">
        <v>11</v>
      </c>
      <c r="B14" s="1" t="s">
        <v>13</v>
      </c>
      <c r="C14" s="2">
        <v>95.47</v>
      </c>
    </row>
    <row r="15" spans="1:3" ht="15" thickBot="1" x14ac:dyDescent="0.35">
      <c r="A15" s="17">
        <v>12</v>
      </c>
      <c r="B15" s="1" t="s">
        <v>14</v>
      </c>
      <c r="C15" s="2">
        <v>90.39</v>
      </c>
    </row>
    <row r="16" spans="1:3" ht="15" thickBot="1" x14ac:dyDescent="0.35">
      <c r="A16" s="17">
        <v>13</v>
      </c>
      <c r="B16" s="1" t="s">
        <v>15</v>
      </c>
      <c r="C16" s="2">
        <v>90.08</v>
      </c>
    </row>
    <row r="17" spans="1:3" ht="15" thickBot="1" x14ac:dyDescent="0.35">
      <c r="A17" s="17">
        <v>14</v>
      </c>
      <c r="B17" s="1" t="s">
        <v>16</v>
      </c>
      <c r="C17" s="2">
        <v>56.98</v>
      </c>
    </row>
    <row r="18" spans="1:3" ht="15" thickBot="1" x14ac:dyDescent="0.35">
      <c r="A18" s="17">
        <v>15</v>
      </c>
      <c r="B18" s="1" t="s">
        <v>17</v>
      </c>
      <c r="C18" s="2">
        <v>18.22</v>
      </c>
    </row>
    <row r="19" spans="1:3" ht="15" thickBot="1" x14ac:dyDescent="0.35">
      <c r="A19" s="17">
        <v>16</v>
      </c>
      <c r="B19" s="1" t="s">
        <v>18</v>
      </c>
      <c r="C19" s="2">
        <v>60</v>
      </c>
    </row>
    <row r="20" spans="1:3" ht="15" thickBot="1" x14ac:dyDescent="0.35">
      <c r="A20" s="17">
        <v>17</v>
      </c>
      <c r="B20" s="1" t="s">
        <v>19</v>
      </c>
      <c r="C20" s="2">
        <v>56.2</v>
      </c>
    </row>
    <row r="21" spans="1:3" ht="15" thickBot="1" x14ac:dyDescent="0.35">
      <c r="A21" s="17">
        <v>18</v>
      </c>
      <c r="B21" s="1" t="s">
        <v>20</v>
      </c>
      <c r="C21" s="2">
        <v>65.099999999999994</v>
      </c>
    </row>
    <row r="22" spans="1:3" ht="15" thickBot="1" x14ac:dyDescent="0.35">
      <c r="A22" s="17">
        <v>19</v>
      </c>
      <c r="B22" s="1" t="s">
        <v>21</v>
      </c>
      <c r="C22" s="2">
        <v>54.09</v>
      </c>
    </row>
    <row r="23" spans="1:3" ht="15" thickBot="1" x14ac:dyDescent="0.35">
      <c r="A23" s="17">
        <v>20</v>
      </c>
      <c r="B23" s="1" t="s">
        <v>22</v>
      </c>
      <c r="C23" s="2">
        <v>69.900000000000006</v>
      </c>
    </row>
    <row r="24" spans="1:3" ht="15" thickBot="1" x14ac:dyDescent="0.35">
      <c r="A24" s="17">
        <v>21</v>
      </c>
      <c r="B24" s="1" t="s">
        <v>23</v>
      </c>
      <c r="C24" s="2">
        <v>51.57</v>
      </c>
    </row>
    <row r="25" spans="1:3" ht="15" thickBot="1" x14ac:dyDescent="0.35">
      <c r="A25" s="17">
        <v>22</v>
      </c>
      <c r="B25" s="1" t="s">
        <v>24</v>
      </c>
      <c r="C25" s="2">
        <v>81.14</v>
      </c>
    </row>
    <row r="26" spans="1:3" ht="15" thickBot="1" x14ac:dyDescent="0.35">
      <c r="A26" s="17">
        <v>23</v>
      </c>
      <c r="B26" s="1" t="s">
        <v>25</v>
      </c>
      <c r="C26" s="2">
        <v>85.2</v>
      </c>
    </row>
    <row r="27" spans="1:3" ht="15" thickBot="1" x14ac:dyDescent="0.35">
      <c r="A27" s="17">
        <v>24</v>
      </c>
      <c r="B27" s="1" t="s">
        <v>32</v>
      </c>
      <c r="C27" s="2">
        <v>54.04</v>
      </c>
    </row>
    <row r="28" spans="1:3" ht="15" thickBot="1" x14ac:dyDescent="0.35">
      <c r="A28" s="17">
        <v>25</v>
      </c>
      <c r="B28" s="1" t="s">
        <v>26</v>
      </c>
      <c r="C28" s="2">
        <v>71.41</v>
      </c>
    </row>
    <row r="29" spans="1:3" ht="15" thickBot="1" x14ac:dyDescent="0.35">
      <c r="A29" s="17">
        <v>26</v>
      </c>
      <c r="B29" s="1" t="s">
        <v>27</v>
      </c>
      <c r="C29" s="2">
        <v>76.92</v>
      </c>
    </row>
    <row r="30" spans="1:3" ht="15" thickBot="1" x14ac:dyDescent="0.35">
      <c r="A30" s="17">
        <v>27</v>
      </c>
      <c r="B30" s="1" t="s">
        <v>28</v>
      </c>
      <c r="C30" s="2">
        <v>62.81</v>
      </c>
    </row>
    <row r="32" spans="1:3" ht="15" thickBot="1" x14ac:dyDescent="0.35">
      <c r="B32" s="13" t="s">
        <v>116</v>
      </c>
    </row>
    <row r="33" spans="1:3" ht="28.2" thickBot="1" x14ac:dyDescent="0.35">
      <c r="B33" s="11" t="s">
        <v>0</v>
      </c>
      <c r="C33" s="12" t="s">
        <v>34</v>
      </c>
    </row>
    <row r="34" spans="1:3" ht="15" thickBot="1" x14ac:dyDescent="0.35">
      <c r="A34" s="17">
        <v>1</v>
      </c>
      <c r="B34" s="1" t="s">
        <v>84</v>
      </c>
      <c r="C34" s="2">
        <v>44.38</v>
      </c>
    </row>
    <row r="35" spans="1:3" ht="15" thickBot="1" x14ac:dyDescent="0.35">
      <c r="A35" s="17">
        <v>2</v>
      </c>
      <c r="B35" s="1" t="s">
        <v>85</v>
      </c>
      <c r="C35" s="2">
        <v>64.69</v>
      </c>
    </row>
    <row r="36" spans="1:3" ht="15" thickBot="1" x14ac:dyDescent="0.35">
      <c r="A36" s="17">
        <v>3</v>
      </c>
      <c r="B36" s="1" t="s">
        <v>86</v>
      </c>
      <c r="C36" s="2">
        <v>66.72</v>
      </c>
    </row>
    <row r="37" spans="1:3" ht="15" thickBot="1" x14ac:dyDescent="0.35">
      <c r="A37" s="17">
        <v>4</v>
      </c>
      <c r="B37" s="1" t="s">
        <v>87</v>
      </c>
      <c r="C37" s="2">
        <v>42.18</v>
      </c>
    </row>
    <row r="38" spans="1:3" ht="15" thickBot="1" x14ac:dyDescent="0.35">
      <c r="A38" s="17">
        <v>5</v>
      </c>
      <c r="B38" s="1" t="s">
        <v>88</v>
      </c>
      <c r="C38" s="2">
        <v>34.659999999999997</v>
      </c>
    </row>
    <row r="39" spans="1:3" ht="15" thickBot="1" x14ac:dyDescent="0.35">
      <c r="A39" s="17">
        <v>6</v>
      </c>
      <c r="B39" s="1" t="s">
        <v>89</v>
      </c>
      <c r="C39" s="2">
        <v>28.12</v>
      </c>
    </row>
    <row r="40" spans="1:3" ht="15" thickBot="1" x14ac:dyDescent="0.35">
      <c r="A40" s="17">
        <v>7</v>
      </c>
      <c r="B40" s="1" t="s">
        <v>90</v>
      </c>
      <c r="C40" s="2">
        <v>34.51</v>
      </c>
    </row>
    <row r="41" spans="1:3" ht="15" thickBot="1" x14ac:dyDescent="0.35">
      <c r="A41" s="17">
        <v>8</v>
      </c>
      <c r="B41" s="1" t="s">
        <v>91</v>
      </c>
      <c r="C41" s="2">
        <v>58.12</v>
      </c>
    </row>
    <row r="42" spans="1:3" ht="15" thickBot="1" x14ac:dyDescent="0.35">
      <c r="A42" s="17">
        <v>9</v>
      </c>
      <c r="B42" s="1" t="s">
        <v>92</v>
      </c>
      <c r="C42" s="2">
        <v>32.229999999999997</v>
      </c>
    </row>
    <row r="43" spans="1:3" ht="15" thickBot="1" x14ac:dyDescent="0.35">
      <c r="A43" s="17">
        <v>10</v>
      </c>
      <c r="B43" s="1" t="s">
        <v>93</v>
      </c>
      <c r="C43" s="2">
        <v>63.81</v>
      </c>
    </row>
    <row r="44" spans="1:3" ht="15" thickBot="1" x14ac:dyDescent="0.35">
      <c r="A44" s="17">
        <v>11</v>
      </c>
      <c r="B44" s="1" t="s">
        <v>94</v>
      </c>
      <c r="C44" s="2">
        <v>94.47</v>
      </c>
    </row>
    <row r="45" spans="1:3" ht="15" thickBot="1" x14ac:dyDescent="0.35">
      <c r="A45" s="17">
        <v>12</v>
      </c>
      <c r="B45" s="1" t="s">
        <v>95</v>
      </c>
      <c r="C45" s="2" t="s">
        <v>62</v>
      </c>
    </row>
    <row r="46" spans="1:3" ht="15" thickBot="1" x14ac:dyDescent="0.35">
      <c r="A46" s="17">
        <v>13</v>
      </c>
      <c r="B46" s="1" t="s">
        <v>96</v>
      </c>
      <c r="C46" s="2">
        <v>41.4</v>
      </c>
    </row>
    <row r="47" spans="1:3" ht="15" thickBot="1" x14ac:dyDescent="0.35">
      <c r="A47" s="17">
        <v>14</v>
      </c>
      <c r="B47" s="1" t="s">
        <v>97</v>
      </c>
      <c r="C47" s="2">
        <v>43.82</v>
      </c>
    </row>
    <row r="48" spans="1:3" ht="15" thickBot="1" x14ac:dyDescent="0.35">
      <c r="A48" s="17">
        <v>15</v>
      </c>
      <c r="B48" s="1" t="s">
        <v>98</v>
      </c>
      <c r="C48" s="2">
        <v>13.38</v>
      </c>
    </row>
    <row r="49" spans="1:3" ht="15" thickBot="1" x14ac:dyDescent="0.35">
      <c r="A49" s="17">
        <v>16</v>
      </c>
      <c r="B49" s="1" t="s">
        <v>99</v>
      </c>
      <c r="C49" s="2">
        <v>99.04</v>
      </c>
    </row>
    <row r="50" spans="1:3" ht="15" thickBot="1" x14ac:dyDescent="0.35">
      <c r="A50" s="17">
        <v>17</v>
      </c>
      <c r="B50" s="1" t="s">
        <v>100</v>
      </c>
      <c r="C50" s="2">
        <v>49.93</v>
      </c>
    </row>
    <row r="51" spans="1:3" ht="15" thickBot="1" x14ac:dyDescent="0.35">
      <c r="A51" s="17">
        <v>18</v>
      </c>
      <c r="B51" s="1" t="s">
        <v>101</v>
      </c>
      <c r="C51" s="2">
        <v>86.99</v>
      </c>
    </row>
    <row r="52" spans="1:3" ht="15" thickBot="1" x14ac:dyDescent="0.35">
      <c r="A52" s="17">
        <v>19</v>
      </c>
      <c r="B52" s="1" t="s">
        <v>102</v>
      </c>
      <c r="C52" s="2">
        <v>64.55</v>
      </c>
    </row>
    <row r="53" spans="1:3" ht="15" thickBot="1" x14ac:dyDescent="0.35">
      <c r="A53" s="17">
        <v>20</v>
      </c>
      <c r="B53" s="1" t="s">
        <v>103</v>
      </c>
      <c r="C53" s="2">
        <v>9.8000000000000007</v>
      </c>
    </row>
    <row r="54" spans="1:3" ht="15" thickBot="1" x14ac:dyDescent="0.35">
      <c r="A54" s="17">
        <v>21</v>
      </c>
      <c r="B54" s="1" t="s">
        <v>104</v>
      </c>
      <c r="C54" s="2">
        <v>50.07</v>
      </c>
    </row>
    <row r="55" spans="1:3" ht="15" thickBot="1" x14ac:dyDescent="0.35">
      <c r="A55" s="17">
        <v>22</v>
      </c>
      <c r="B55" s="1" t="s">
        <v>105</v>
      </c>
      <c r="C55" s="2">
        <v>38.869999999999997</v>
      </c>
    </row>
    <row r="56" spans="1:3" ht="15" thickBot="1" x14ac:dyDescent="0.35">
      <c r="A56" s="17">
        <v>23</v>
      </c>
      <c r="B56" s="1" t="s">
        <v>106</v>
      </c>
      <c r="C56" s="2">
        <v>60.57</v>
      </c>
    </row>
    <row r="57" spans="1:3" ht="15" thickBot="1" x14ac:dyDescent="0.35">
      <c r="A57" s="17">
        <v>24</v>
      </c>
      <c r="B57" s="1" t="s">
        <v>107</v>
      </c>
      <c r="C57" s="2">
        <v>44.66</v>
      </c>
    </row>
    <row r="58" spans="1:3" ht="15" thickBot="1" x14ac:dyDescent="0.35">
      <c r="A58" s="17">
        <v>25</v>
      </c>
      <c r="B58" s="1" t="s">
        <v>108</v>
      </c>
      <c r="C58" s="2">
        <v>52.88</v>
      </c>
    </row>
    <row r="59" spans="1:3" ht="15" thickBot="1" x14ac:dyDescent="0.35">
      <c r="A59" s="17">
        <v>26</v>
      </c>
      <c r="B59" s="1" t="s">
        <v>109</v>
      </c>
      <c r="C59" s="2">
        <v>58.74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0EDD-89FD-40B6-B076-AD8A3BC782CA}">
  <dimension ref="A2:H59"/>
  <sheetViews>
    <sheetView topLeftCell="A22" workbookViewId="0">
      <selection activeCell="B32" sqref="B32"/>
    </sheetView>
  </sheetViews>
  <sheetFormatPr defaultRowHeight="14.4" x14ac:dyDescent="0.3"/>
  <cols>
    <col min="1" max="1" width="3.6640625" customWidth="1"/>
    <col min="2" max="2" width="26.5546875" customWidth="1"/>
    <col min="3" max="3" width="19.109375" customWidth="1"/>
    <col min="4" max="4" width="24.88671875" customWidth="1"/>
    <col min="5" max="5" width="22.6640625" customWidth="1"/>
    <col min="6" max="6" width="22.33203125" customWidth="1"/>
    <col min="7" max="7" width="23.44140625" customWidth="1"/>
    <col min="8" max="8" width="30.44140625" customWidth="1"/>
  </cols>
  <sheetData>
    <row r="2" spans="1:8" ht="15" thickBot="1" x14ac:dyDescent="0.35">
      <c r="B2" s="13" t="s">
        <v>42</v>
      </c>
    </row>
    <row r="3" spans="1:8" ht="15" thickBot="1" x14ac:dyDescent="0.35">
      <c r="B3" s="11" t="s">
        <v>0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8" ht="15" thickBot="1" x14ac:dyDescent="0.35">
      <c r="A4" s="17">
        <v>1</v>
      </c>
      <c r="B4" s="1" t="s">
        <v>4</v>
      </c>
      <c r="C4" s="4">
        <v>0.1888</v>
      </c>
      <c r="D4" s="4">
        <v>0.1188</v>
      </c>
      <c r="E4" s="4">
        <v>0.30130000000000001</v>
      </c>
      <c r="F4" s="4">
        <v>0.39100000000000001</v>
      </c>
      <c r="G4" s="3">
        <v>352858433</v>
      </c>
      <c r="H4" s="16">
        <v>13980.13</v>
      </c>
    </row>
    <row r="5" spans="1:8" ht="15" thickBot="1" x14ac:dyDescent="0.35">
      <c r="A5" s="17">
        <v>2</v>
      </c>
      <c r="B5" s="1" t="s">
        <v>5</v>
      </c>
      <c r="C5" s="4">
        <v>0.21940000000000001</v>
      </c>
      <c r="D5" s="4">
        <v>2.9499999999999998E-2</v>
      </c>
      <c r="E5" s="4">
        <v>0.25769999999999998</v>
      </c>
      <c r="F5" s="4">
        <v>0.49349999999999999</v>
      </c>
      <c r="G5" s="3">
        <v>144944925</v>
      </c>
      <c r="H5" s="16">
        <v>9794.9</v>
      </c>
    </row>
    <row r="6" spans="1:8" ht="15" thickBot="1" x14ac:dyDescent="0.35">
      <c r="A6" s="17">
        <v>3</v>
      </c>
      <c r="B6" s="1" t="s">
        <v>6</v>
      </c>
      <c r="C6" s="4">
        <v>0.1152</v>
      </c>
      <c r="D6" s="4">
        <v>4.1200000000000001E-2</v>
      </c>
      <c r="E6" s="4">
        <v>0.35120000000000001</v>
      </c>
      <c r="F6" s="4">
        <v>0.4924</v>
      </c>
      <c r="G6" s="3">
        <v>222588795</v>
      </c>
      <c r="H6" s="16">
        <v>9679.4599999999991</v>
      </c>
    </row>
    <row r="7" spans="1:8" ht="15" thickBot="1" x14ac:dyDescent="0.35">
      <c r="A7" s="17">
        <v>4</v>
      </c>
      <c r="B7" s="5" t="s">
        <v>7</v>
      </c>
      <c r="C7" s="4">
        <v>0.218</v>
      </c>
      <c r="D7" s="4">
        <v>4.2099999999999999E-2</v>
      </c>
      <c r="E7" s="4">
        <v>0.21460000000000001</v>
      </c>
      <c r="F7" s="4">
        <v>0.52529999999999999</v>
      </c>
      <c r="G7" s="3">
        <v>146942971</v>
      </c>
      <c r="H7" s="16">
        <v>10042.58</v>
      </c>
    </row>
    <row r="8" spans="1:8" ht="15" thickBot="1" x14ac:dyDescent="0.35">
      <c r="A8" s="17">
        <v>5</v>
      </c>
      <c r="B8" s="1" t="s">
        <v>8</v>
      </c>
      <c r="C8" s="4">
        <v>7.7799999999999994E-2</v>
      </c>
      <c r="D8" s="4">
        <v>0.4153</v>
      </c>
      <c r="E8" s="4">
        <v>0.34610000000000002</v>
      </c>
      <c r="F8" s="4">
        <v>0.16070000000000001</v>
      </c>
      <c r="G8" s="3">
        <v>2765036424</v>
      </c>
      <c r="H8" s="16">
        <v>35942.239999999998</v>
      </c>
    </row>
    <row r="9" spans="1:8" ht="15" thickBot="1" x14ac:dyDescent="0.35">
      <c r="A9" s="17">
        <v>6</v>
      </c>
      <c r="B9" s="1" t="s">
        <v>9</v>
      </c>
      <c r="C9" s="4">
        <v>0.03</v>
      </c>
      <c r="D9" s="4">
        <v>0.2142</v>
      </c>
      <c r="E9" s="4">
        <v>0.41749999999999998</v>
      </c>
      <c r="F9" s="4">
        <v>0.33829999999999999</v>
      </c>
      <c r="G9" s="3">
        <v>962826016</v>
      </c>
      <c r="H9" s="16">
        <v>15794.39</v>
      </c>
    </row>
    <row r="10" spans="1:8" ht="15" thickBot="1" x14ac:dyDescent="0.35">
      <c r="A10" s="17">
        <v>7</v>
      </c>
      <c r="B10" s="1" t="s">
        <v>10</v>
      </c>
      <c r="C10" s="4">
        <v>0.21640000000000001</v>
      </c>
      <c r="D10" s="4">
        <v>0.13950000000000001</v>
      </c>
      <c r="E10" s="4">
        <v>0.2928</v>
      </c>
      <c r="F10" s="4">
        <v>0.3513</v>
      </c>
      <c r="G10" s="3">
        <v>539340172</v>
      </c>
      <c r="H10" s="16">
        <v>14155.54</v>
      </c>
    </row>
    <row r="11" spans="1:8" ht="15" thickBot="1" x14ac:dyDescent="0.35">
      <c r="A11" s="17">
        <v>8</v>
      </c>
      <c r="B11" s="1" t="s">
        <v>31</v>
      </c>
      <c r="C11" s="4">
        <v>2.5499999999999998E-2</v>
      </c>
      <c r="D11" s="4">
        <v>4.9399999999999999E-2</v>
      </c>
      <c r="E11" s="4">
        <v>0.34520000000000001</v>
      </c>
      <c r="F11" s="4">
        <v>0.57999999999999996</v>
      </c>
      <c r="G11" s="3">
        <v>461357176</v>
      </c>
      <c r="H11" s="16">
        <v>8924.43</v>
      </c>
    </row>
    <row r="12" spans="1:8" ht="15" thickBot="1" x14ac:dyDescent="0.35">
      <c r="A12" s="17">
        <v>9</v>
      </c>
      <c r="B12" s="1" t="s">
        <v>11</v>
      </c>
      <c r="C12" s="4">
        <v>0.1522</v>
      </c>
      <c r="D12" s="4">
        <v>4.0599999999999997E-2</v>
      </c>
      <c r="E12" s="4">
        <v>0.41399999999999998</v>
      </c>
      <c r="F12" s="4">
        <v>0.39319999999999999</v>
      </c>
      <c r="G12" s="3">
        <v>254368817</v>
      </c>
      <c r="H12" s="16">
        <v>12337.22</v>
      </c>
    </row>
    <row r="13" spans="1:8" ht="15" thickBot="1" x14ac:dyDescent="0.35">
      <c r="A13" s="17">
        <v>10</v>
      </c>
      <c r="B13" s="1" t="s">
        <v>12</v>
      </c>
      <c r="C13" s="4">
        <v>9.8199999999999996E-2</v>
      </c>
      <c r="D13" s="4">
        <v>5.5800000000000002E-2</v>
      </c>
      <c r="E13" s="4">
        <v>0.34899999999999998</v>
      </c>
      <c r="F13" s="4">
        <v>0.49709999999999999</v>
      </c>
      <c r="G13" s="3">
        <v>181160709</v>
      </c>
      <c r="H13" s="16">
        <v>9518.74</v>
      </c>
    </row>
    <row r="14" spans="1:8" ht="15" thickBot="1" x14ac:dyDescent="0.35">
      <c r="A14" s="17">
        <v>11</v>
      </c>
      <c r="B14" s="1" t="s">
        <v>13</v>
      </c>
      <c r="C14" s="4">
        <v>2.2499999999999999E-2</v>
      </c>
      <c r="D14" s="4">
        <v>0.1454</v>
      </c>
      <c r="E14" s="4">
        <v>0.60470000000000002</v>
      </c>
      <c r="F14" s="4">
        <v>0.22739999999999999</v>
      </c>
      <c r="G14" s="3">
        <v>8663524843</v>
      </c>
      <c r="H14" s="16">
        <v>23456.58</v>
      </c>
    </row>
    <row r="15" spans="1:8" ht="15" thickBot="1" x14ac:dyDescent="0.35">
      <c r="A15" s="17">
        <v>12</v>
      </c>
      <c r="B15" s="1" t="s">
        <v>14</v>
      </c>
      <c r="C15" s="4">
        <v>5.9299999999999999E-2</v>
      </c>
      <c r="D15" s="4">
        <v>0.1076</v>
      </c>
      <c r="E15" s="4">
        <v>0.36620000000000003</v>
      </c>
      <c r="F15" s="4">
        <v>0.46679999999999999</v>
      </c>
      <c r="G15" s="3">
        <v>283576106</v>
      </c>
      <c r="H15" s="16">
        <v>11700.13</v>
      </c>
    </row>
    <row r="16" spans="1:8" ht="15" thickBot="1" x14ac:dyDescent="0.35">
      <c r="A16" s="17">
        <v>13</v>
      </c>
      <c r="B16" s="1" t="s">
        <v>15</v>
      </c>
      <c r="C16" s="4">
        <v>3.85E-2</v>
      </c>
      <c r="D16" s="4">
        <v>0.13750000000000001</v>
      </c>
      <c r="E16" s="4">
        <v>0.49730000000000002</v>
      </c>
      <c r="F16" s="4">
        <v>0.32669999999999999</v>
      </c>
      <c r="G16" s="3">
        <v>1359681438</v>
      </c>
      <c r="H16" s="16">
        <v>15938.31</v>
      </c>
    </row>
    <row r="17" spans="1:8" ht="15" thickBot="1" x14ac:dyDescent="0.35">
      <c r="A17" s="17">
        <v>14</v>
      </c>
      <c r="B17" s="1" t="s">
        <v>16</v>
      </c>
      <c r="C17" s="4">
        <v>0.21629999999999999</v>
      </c>
      <c r="D17" s="4">
        <v>2.6499999999999999E-2</v>
      </c>
      <c r="E17" s="4">
        <v>0.21579999999999999</v>
      </c>
      <c r="F17" s="4">
        <v>0.5413</v>
      </c>
      <c r="G17" s="3">
        <v>85527388</v>
      </c>
      <c r="H17" s="16">
        <v>11003.14</v>
      </c>
    </row>
    <row r="18" spans="1:8" ht="15" thickBot="1" x14ac:dyDescent="0.35">
      <c r="A18" s="17">
        <v>15</v>
      </c>
      <c r="B18" s="1" t="s">
        <v>17</v>
      </c>
      <c r="C18" s="4">
        <v>8.7999999999999995E-2</v>
      </c>
      <c r="D18" s="4">
        <v>2.7799999999999998E-2</v>
      </c>
      <c r="E18" s="4">
        <v>0.28050000000000003</v>
      </c>
      <c r="F18" s="4">
        <v>0.6038</v>
      </c>
      <c r="G18" s="3">
        <v>154862064</v>
      </c>
      <c r="H18" s="16">
        <v>8948.98</v>
      </c>
    </row>
    <row r="19" spans="1:8" ht="15" thickBot="1" x14ac:dyDescent="0.35">
      <c r="A19" s="17">
        <v>16</v>
      </c>
      <c r="B19" s="1" t="s">
        <v>18</v>
      </c>
      <c r="C19" s="4">
        <v>0.16669999999999999</v>
      </c>
      <c r="D19" s="4">
        <v>3.8199999999999998E-2</v>
      </c>
      <c r="E19" s="4">
        <v>0.2162</v>
      </c>
      <c r="F19" s="4">
        <v>0.57889999999999997</v>
      </c>
      <c r="G19" s="3">
        <v>135442681</v>
      </c>
      <c r="H19" s="16">
        <v>8286.49</v>
      </c>
    </row>
    <row r="20" spans="1:8" ht="15" thickBot="1" x14ac:dyDescent="0.35">
      <c r="A20" s="17">
        <v>17</v>
      </c>
      <c r="B20" s="1" t="s">
        <v>19</v>
      </c>
      <c r="C20" s="4">
        <v>9.6000000000000002E-2</v>
      </c>
      <c r="D20" s="4">
        <v>3.04E-2</v>
      </c>
      <c r="E20" s="4">
        <v>0.26219999999999999</v>
      </c>
      <c r="F20" s="4">
        <v>0.61140000000000005</v>
      </c>
      <c r="G20" s="3">
        <v>229556335</v>
      </c>
      <c r="H20" s="16">
        <v>8682.82</v>
      </c>
    </row>
    <row r="21" spans="1:8" ht="15" thickBot="1" x14ac:dyDescent="0.35">
      <c r="A21" s="17">
        <v>18</v>
      </c>
      <c r="B21" s="1" t="s">
        <v>20</v>
      </c>
      <c r="C21" s="4">
        <v>6.25E-2</v>
      </c>
      <c r="D21" s="4">
        <v>0.108</v>
      </c>
      <c r="E21" s="4">
        <v>0.41170000000000001</v>
      </c>
      <c r="F21" s="4">
        <v>0.4178</v>
      </c>
      <c r="G21" s="3">
        <v>869650980</v>
      </c>
      <c r="H21" s="16">
        <v>12776.4</v>
      </c>
    </row>
    <row r="22" spans="1:8" ht="15" thickBot="1" x14ac:dyDescent="0.35">
      <c r="A22" s="17">
        <v>19</v>
      </c>
      <c r="B22" s="1" t="s">
        <v>21</v>
      </c>
      <c r="C22" s="4">
        <v>6.8699999999999997E-2</v>
      </c>
      <c r="D22" s="4">
        <v>3.0499999999999999E-2</v>
      </c>
      <c r="E22" s="4">
        <v>0.29380000000000001</v>
      </c>
      <c r="F22" s="4">
        <v>0.60709999999999997</v>
      </c>
      <c r="G22" s="3">
        <v>102107077</v>
      </c>
      <c r="H22" s="16">
        <v>9029.6299999999992</v>
      </c>
    </row>
    <row r="23" spans="1:8" ht="15" thickBot="1" x14ac:dyDescent="0.35">
      <c r="A23" s="17">
        <v>20</v>
      </c>
      <c r="B23" s="1" t="s">
        <v>22</v>
      </c>
      <c r="C23" s="4">
        <v>0.14099999999999999</v>
      </c>
      <c r="D23" s="4">
        <v>0.23319999999999999</v>
      </c>
      <c r="E23" s="4">
        <v>0.3407</v>
      </c>
      <c r="F23" s="4">
        <v>0.28510000000000002</v>
      </c>
      <c r="G23" s="3">
        <v>532583088</v>
      </c>
      <c r="H23" s="16">
        <v>19577.38</v>
      </c>
    </row>
    <row r="24" spans="1:8" ht="15" thickBot="1" x14ac:dyDescent="0.35">
      <c r="A24" s="17">
        <v>21</v>
      </c>
      <c r="B24" s="5" t="s">
        <v>23</v>
      </c>
      <c r="C24" s="4">
        <v>0.26819999999999999</v>
      </c>
      <c r="D24" s="4">
        <v>6.4699999999999994E-2</v>
      </c>
      <c r="E24" s="4">
        <v>0.25280000000000002</v>
      </c>
      <c r="F24" s="4">
        <v>0.4143</v>
      </c>
      <c r="G24" s="3">
        <v>260563146</v>
      </c>
      <c r="H24" s="16">
        <v>12560.89</v>
      </c>
    </row>
    <row r="25" spans="1:8" ht="15" thickBot="1" x14ac:dyDescent="0.35">
      <c r="A25" s="17">
        <v>22</v>
      </c>
      <c r="B25" s="1" t="s">
        <v>24</v>
      </c>
      <c r="C25" s="4">
        <v>0.35299999999999998</v>
      </c>
      <c r="D25" s="4">
        <v>3.8699999999999998E-2</v>
      </c>
      <c r="E25" s="4">
        <v>0.27439999999999998</v>
      </c>
      <c r="F25" s="4">
        <v>0.33389999999999997</v>
      </c>
      <c r="G25" s="3">
        <v>176225317</v>
      </c>
      <c r="H25" s="16">
        <v>18356.8</v>
      </c>
    </row>
    <row r="26" spans="1:8" ht="15" thickBot="1" x14ac:dyDescent="0.35">
      <c r="A26" s="17">
        <v>23</v>
      </c>
      <c r="B26" s="1" t="s">
        <v>25</v>
      </c>
      <c r="C26" s="4">
        <v>0.12870000000000001</v>
      </c>
      <c r="D26" s="4">
        <v>4.2700000000000002E-2</v>
      </c>
      <c r="E26" s="4">
        <v>0.28870000000000001</v>
      </c>
      <c r="F26" s="4">
        <v>0.53979999999999995</v>
      </c>
      <c r="G26" s="3">
        <v>248264475</v>
      </c>
      <c r="H26" s="16">
        <v>9091.27</v>
      </c>
    </row>
    <row r="27" spans="1:8" ht="15" thickBot="1" x14ac:dyDescent="0.35">
      <c r="A27" s="17">
        <v>24</v>
      </c>
      <c r="B27" s="5" t="s">
        <v>32</v>
      </c>
      <c r="C27" s="4">
        <v>0.63790000000000002</v>
      </c>
      <c r="D27" s="4">
        <v>3.2399999999999998E-2</v>
      </c>
      <c r="E27" s="4">
        <v>0.13569999999999999</v>
      </c>
      <c r="F27" s="4">
        <v>0.19400000000000001</v>
      </c>
      <c r="G27" s="3">
        <v>1485705930</v>
      </c>
      <c r="H27" s="16">
        <v>24529.96</v>
      </c>
    </row>
    <row r="28" spans="1:8" ht="15" thickBot="1" x14ac:dyDescent="0.35">
      <c r="A28" s="17">
        <v>25</v>
      </c>
      <c r="B28" s="1" t="s">
        <v>26</v>
      </c>
      <c r="C28" s="4">
        <v>8.5500000000000007E-2</v>
      </c>
      <c r="D28" s="4">
        <v>0.1225</v>
      </c>
      <c r="E28" s="4">
        <v>0.36009999999999998</v>
      </c>
      <c r="F28" s="4">
        <v>0.43190000000000001</v>
      </c>
      <c r="G28" s="3">
        <v>447678660</v>
      </c>
      <c r="H28" s="16">
        <v>11941.92</v>
      </c>
    </row>
    <row r="29" spans="1:8" ht="15" thickBot="1" x14ac:dyDescent="0.35">
      <c r="A29" s="17">
        <v>26</v>
      </c>
      <c r="B29" s="1" t="s">
        <v>27</v>
      </c>
      <c r="C29" s="4">
        <v>9.7799999999999998E-2</v>
      </c>
      <c r="D29" s="4">
        <v>3.5000000000000003E-2</v>
      </c>
      <c r="E29" s="4">
        <v>0.26300000000000001</v>
      </c>
      <c r="F29" s="4">
        <v>0.60419999999999996</v>
      </c>
      <c r="G29" s="3">
        <v>185466682</v>
      </c>
      <c r="H29" s="16">
        <v>8650.9</v>
      </c>
    </row>
    <row r="30" spans="1:8" ht="15" thickBot="1" x14ac:dyDescent="0.35">
      <c r="A30" s="17">
        <v>27</v>
      </c>
      <c r="B30" s="1" t="s">
        <v>28</v>
      </c>
      <c r="C30" s="4">
        <v>0.12429999999999999</v>
      </c>
      <c r="D30" s="4">
        <v>0.14330000000000001</v>
      </c>
      <c r="E30" s="4">
        <v>0.26450000000000001</v>
      </c>
      <c r="F30" s="4">
        <v>0.46789999999999998</v>
      </c>
      <c r="G30" s="3">
        <v>149158911</v>
      </c>
      <c r="H30" s="16">
        <v>11614.02</v>
      </c>
    </row>
    <row r="32" spans="1:8" ht="15" thickBot="1" x14ac:dyDescent="0.35">
      <c r="B32" s="13" t="s">
        <v>115</v>
      </c>
    </row>
    <row r="33" spans="1:8" ht="15" thickBot="1" x14ac:dyDescent="0.35">
      <c r="B33" s="11" t="s">
        <v>112</v>
      </c>
      <c r="C33" s="12" t="s">
        <v>35</v>
      </c>
      <c r="D33" s="12" t="s">
        <v>36</v>
      </c>
      <c r="E33" s="12" t="s">
        <v>37</v>
      </c>
      <c r="F33" s="12" t="s">
        <v>38</v>
      </c>
      <c r="G33" s="12" t="s">
        <v>41</v>
      </c>
      <c r="H33" s="12" t="s">
        <v>40</v>
      </c>
    </row>
    <row r="34" spans="1:8" ht="15" thickBot="1" x14ac:dyDescent="0.35">
      <c r="A34" s="17">
        <v>1</v>
      </c>
      <c r="B34" s="1" t="s">
        <v>84</v>
      </c>
      <c r="C34" s="4">
        <v>0.1231</v>
      </c>
      <c r="D34" s="4">
        <v>2.7900000000000001E-2</v>
      </c>
      <c r="E34" s="4">
        <v>0.34139999999999998</v>
      </c>
      <c r="F34" s="4">
        <v>0.50760000000000005</v>
      </c>
      <c r="G34" s="16">
        <v>401110734</v>
      </c>
      <c r="H34" s="16">
        <v>9132.1299999999992</v>
      </c>
    </row>
    <row r="35" spans="1:8" ht="15" thickBot="1" x14ac:dyDescent="0.35">
      <c r="A35" s="17">
        <v>2</v>
      </c>
      <c r="B35" s="1" t="s">
        <v>85</v>
      </c>
      <c r="C35" s="4">
        <v>0.35820000000000002</v>
      </c>
      <c r="D35" s="4">
        <v>3.7100000000000001E-2</v>
      </c>
      <c r="E35" s="4">
        <v>0.1895</v>
      </c>
      <c r="F35" s="4">
        <v>0.41520000000000001</v>
      </c>
      <c r="G35" s="16">
        <v>142259856</v>
      </c>
      <c r="H35" s="16">
        <v>12588.25</v>
      </c>
    </row>
    <row r="36" spans="1:8" ht="15" thickBot="1" x14ac:dyDescent="0.35">
      <c r="A36" s="17">
        <v>3</v>
      </c>
      <c r="B36" s="1" t="s">
        <v>86</v>
      </c>
      <c r="C36" s="4">
        <v>0.2099</v>
      </c>
      <c r="D36" s="4">
        <v>0.14319999999999999</v>
      </c>
      <c r="E36" s="4">
        <v>0.29780000000000001</v>
      </c>
      <c r="F36" s="4">
        <v>0.34910000000000002</v>
      </c>
      <c r="G36" s="16">
        <v>643150606</v>
      </c>
      <c r="H36" s="16">
        <v>13132.22</v>
      </c>
    </row>
    <row r="37" spans="1:8" ht="15" thickBot="1" x14ac:dyDescent="0.35">
      <c r="A37" s="17">
        <v>4</v>
      </c>
      <c r="B37" s="1" t="s">
        <v>87</v>
      </c>
      <c r="C37" s="4">
        <v>0.53180000000000005</v>
      </c>
      <c r="D37" s="4">
        <v>2.2100000000000002E-2</v>
      </c>
      <c r="E37" s="4">
        <v>0.1598</v>
      </c>
      <c r="F37" s="4">
        <v>0.2863</v>
      </c>
      <c r="G37" s="16">
        <v>183678548</v>
      </c>
      <c r="H37" s="16">
        <v>20451.900000000001</v>
      </c>
    </row>
    <row r="38" spans="1:8" ht="15" thickBot="1" x14ac:dyDescent="0.35">
      <c r="A38" s="17">
        <v>5</v>
      </c>
      <c r="B38" s="1" t="s">
        <v>88</v>
      </c>
      <c r="C38" s="4">
        <v>0.1963</v>
      </c>
      <c r="D38" s="4">
        <v>2.4199999999999999E-2</v>
      </c>
      <c r="E38" s="4">
        <v>0.25690000000000002</v>
      </c>
      <c r="F38" s="4">
        <v>0.52249999999999996</v>
      </c>
      <c r="G38" s="16">
        <v>549014687</v>
      </c>
      <c r="H38" s="16">
        <v>9235.2099999999991</v>
      </c>
    </row>
    <row r="39" spans="1:8" ht="15" thickBot="1" x14ac:dyDescent="0.35">
      <c r="A39" s="17">
        <v>6</v>
      </c>
      <c r="B39" s="1" t="s">
        <v>89</v>
      </c>
      <c r="C39" s="4">
        <v>0.1094</v>
      </c>
      <c r="D39" s="4">
        <v>0.42820000000000003</v>
      </c>
      <c r="E39" s="4">
        <v>0.129</v>
      </c>
      <c r="F39" s="4">
        <v>0.33339999999999997</v>
      </c>
      <c r="G39" s="16">
        <v>423726620</v>
      </c>
      <c r="H39" s="16">
        <v>14578.59</v>
      </c>
    </row>
    <row r="40" spans="1:8" ht="15" thickBot="1" x14ac:dyDescent="0.35">
      <c r="A40" s="17">
        <v>7</v>
      </c>
      <c r="B40" s="1" t="s">
        <v>90</v>
      </c>
      <c r="C40" s="4">
        <v>0.28110000000000002</v>
      </c>
      <c r="D40" s="4">
        <v>2.6200000000000001E-2</v>
      </c>
      <c r="E40" s="4">
        <v>0.18659999999999999</v>
      </c>
      <c r="F40" s="4">
        <v>0.50609999999999999</v>
      </c>
      <c r="G40" s="16">
        <v>115298866</v>
      </c>
      <c r="H40" s="16">
        <v>10497.94</v>
      </c>
    </row>
    <row r="41" spans="1:8" ht="15" thickBot="1" x14ac:dyDescent="0.35">
      <c r="A41" s="17">
        <v>8</v>
      </c>
      <c r="B41" s="1" t="s">
        <v>91</v>
      </c>
      <c r="C41" s="4">
        <v>0.1802</v>
      </c>
      <c r="D41" s="4">
        <v>4.2700000000000002E-2</v>
      </c>
      <c r="E41" s="4">
        <v>0.26640000000000003</v>
      </c>
      <c r="F41" s="4">
        <v>0.51060000000000005</v>
      </c>
      <c r="G41" s="16">
        <v>253171467</v>
      </c>
      <c r="H41" s="16">
        <v>10232.040000000001</v>
      </c>
    </row>
    <row r="42" spans="1:8" ht="15" thickBot="1" x14ac:dyDescent="0.35">
      <c r="A42" s="17">
        <v>9</v>
      </c>
      <c r="B42" s="1" t="s">
        <v>92</v>
      </c>
      <c r="C42" s="4">
        <v>0.22889999999999999</v>
      </c>
      <c r="D42" s="4">
        <v>0.1069</v>
      </c>
      <c r="E42" s="4">
        <v>0.24579999999999999</v>
      </c>
      <c r="F42" s="4">
        <v>0.41839999999999999</v>
      </c>
      <c r="G42" s="16">
        <v>244053554</v>
      </c>
      <c r="H42" s="16">
        <v>12173.46</v>
      </c>
    </row>
    <row r="43" spans="1:8" ht="15" thickBot="1" x14ac:dyDescent="0.35">
      <c r="A43" s="17">
        <v>10</v>
      </c>
      <c r="B43" s="1" t="s">
        <v>93</v>
      </c>
      <c r="C43" s="4">
        <v>0.32300000000000001</v>
      </c>
      <c r="D43" s="4">
        <v>2.58E-2</v>
      </c>
      <c r="E43" s="4">
        <v>0.1759</v>
      </c>
      <c r="F43" s="4">
        <v>0.47520000000000001</v>
      </c>
      <c r="G43" s="16">
        <v>192015502</v>
      </c>
      <c r="H43" s="16">
        <v>10477.19</v>
      </c>
    </row>
    <row r="44" spans="1:8" ht="15" thickBot="1" x14ac:dyDescent="0.35">
      <c r="A44" s="17">
        <v>11</v>
      </c>
      <c r="B44" s="1" t="s">
        <v>94</v>
      </c>
      <c r="C44" s="4">
        <v>3.9100000000000003E-2</v>
      </c>
      <c r="D44" s="4">
        <v>0.11559999999999999</v>
      </c>
      <c r="E44" s="4">
        <v>0.61029999999999995</v>
      </c>
      <c r="F44" s="4">
        <v>0.2351</v>
      </c>
      <c r="G44" s="16">
        <v>3077111825</v>
      </c>
      <c r="H44" s="16">
        <v>21769.91</v>
      </c>
    </row>
    <row r="45" spans="1:8" ht="15" thickBot="1" x14ac:dyDescent="0.35">
      <c r="A45" s="17">
        <v>12</v>
      </c>
      <c r="B45" s="1" t="s">
        <v>95</v>
      </c>
      <c r="C45" s="4">
        <v>0.24390000000000001</v>
      </c>
      <c r="D45" s="4">
        <v>1.7899999999999999E-2</v>
      </c>
      <c r="E45" s="4">
        <v>0.21809999999999999</v>
      </c>
      <c r="F45" s="4">
        <v>0.52010000000000001</v>
      </c>
      <c r="G45" s="16">
        <v>195800310</v>
      </c>
      <c r="H45" s="16">
        <v>10153.51</v>
      </c>
    </row>
    <row r="46" spans="1:8" ht="15" thickBot="1" x14ac:dyDescent="0.35">
      <c r="A46" s="17">
        <v>13</v>
      </c>
      <c r="B46" s="1" t="s">
        <v>96</v>
      </c>
      <c r="C46" s="4">
        <v>0.21679999999999999</v>
      </c>
      <c r="D46" s="4">
        <v>2.6499999999999999E-2</v>
      </c>
      <c r="E46" s="4">
        <v>0.27950000000000003</v>
      </c>
      <c r="F46" s="4">
        <v>0.47720000000000001</v>
      </c>
      <c r="G46" s="16">
        <v>283413471</v>
      </c>
      <c r="H46" s="16">
        <v>10789.31</v>
      </c>
    </row>
    <row r="47" spans="1:8" ht="15" thickBot="1" x14ac:dyDescent="0.35">
      <c r="A47" s="17">
        <v>14</v>
      </c>
      <c r="B47" s="1" t="s">
        <v>97</v>
      </c>
      <c r="C47" s="4">
        <v>0.29649999999999999</v>
      </c>
      <c r="D47" s="4">
        <v>2.41E-2</v>
      </c>
      <c r="E47" s="4">
        <v>0.19189999999999999</v>
      </c>
      <c r="F47" s="4">
        <v>0.4874</v>
      </c>
      <c r="G47" s="16">
        <v>129269988</v>
      </c>
      <c r="H47" s="16">
        <v>11197.05</v>
      </c>
    </row>
    <row r="48" spans="1:8" ht="15" thickBot="1" x14ac:dyDescent="0.35">
      <c r="A48" s="17">
        <v>15</v>
      </c>
      <c r="B48" s="1" t="s">
        <v>98</v>
      </c>
      <c r="C48" s="4">
        <v>0.27289999999999998</v>
      </c>
      <c r="D48" s="4">
        <v>8.4599999999999995E-2</v>
      </c>
      <c r="E48" s="4">
        <v>0.23050000000000001</v>
      </c>
      <c r="F48" s="4">
        <v>0.41199999999999998</v>
      </c>
      <c r="G48" s="16">
        <v>214224309</v>
      </c>
      <c r="H48" s="16">
        <v>14274.96</v>
      </c>
    </row>
    <row r="49" spans="1:8" ht="15" thickBot="1" x14ac:dyDescent="0.35">
      <c r="A49" s="17">
        <v>16</v>
      </c>
      <c r="B49" s="1" t="s">
        <v>99</v>
      </c>
      <c r="C49" s="4">
        <v>0.1258</v>
      </c>
      <c r="D49" s="4">
        <v>3.5400000000000001E-2</v>
      </c>
      <c r="E49" s="4">
        <v>0.22819999999999999</v>
      </c>
      <c r="F49" s="4">
        <v>0.61050000000000004</v>
      </c>
      <c r="G49" s="16">
        <v>132839971</v>
      </c>
      <c r="H49" s="16">
        <v>8579.73</v>
      </c>
    </row>
    <row r="50" spans="1:8" ht="15" thickBot="1" x14ac:dyDescent="0.35">
      <c r="A50" s="17">
        <v>17</v>
      </c>
      <c r="B50" s="1" t="s">
        <v>100</v>
      </c>
      <c r="C50" s="4">
        <v>0.25650000000000001</v>
      </c>
      <c r="D50" s="4">
        <v>2.3699999999999999E-2</v>
      </c>
      <c r="E50" s="4">
        <v>0.2029</v>
      </c>
      <c r="F50" s="4">
        <v>0.51680000000000004</v>
      </c>
      <c r="G50" s="16">
        <v>139223059</v>
      </c>
      <c r="H50" s="16">
        <v>10467.9</v>
      </c>
    </row>
    <row r="51" spans="1:8" ht="15" thickBot="1" x14ac:dyDescent="0.35">
      <c r="A51" s="17">
        <v>18</v>
      </c>
      <c r="B51" s="1" t="s">
        <v>101</v>
      </c>
      <c r="C51" s="4">
        <v>0.1084</v>
      </c>
      <c r="D51" s="4">
        <v>5.8999999999999997E-2</v>
      </c>
      <c r="E51" s="4">
        <v>0.44340000000000002</v>
      </c>
      <c r="F51" s="4">
        <v>0.38929999999999998</v>
      </c>
      <c r="G51" s="16">
        <v>585575816</v>
      </c>
      <c r="H51" s="16">
        <v>14323.21</v>
      </c>
    </row>
    <row r="52" spans="1:8" ht="15" thickBot="1" x14ac:dyDescent="0.35">
      <c r="A52" s="17">
        <v>19</v>
      </c>
      <c r="B52" s="1" t="s">
        <v>102</v>
      </c>
      <c r="C52" s="4">
        <v>0.222</v>
      </c>
      <c r="D52" s="4">
        <v>2.7799999999999998E-2</v>
      </c>
      <c r="E52" s="4">
        <v>0.1961</v>
      </c>
      <c r="F52" s="4">
        <v>0.55410000000000004</v>
      </c>
      <c r="G52" s="16">
        <v>79959020</v>
      </c>
      <c r="H52" s="16">
        <v>10648.42</v>
      </c>
    </row>
    <row r="53" spans="1:8" ht="15" thickBot="1" x14ac:dyDescent="0.35">
      <c r="A53" s="17">
        <v>20</v>
      </c>
      <c r="B53" s="1" t="s">
        <v>103</v>
      </c>
      <c r="C53" s="4">
        <v>7.9500000000000001E-2</v>
      </c>
      <c r="D53" s="4">
        <v>0.55610000000000004</v>
      </c>
      <c r="E53" s="4">
        <v>0.1103</v>
      </c>
      <c r="F53" s="4">
        <v>0.25409999999999999</v>
      </c>
      <c r="G53" s="16">
        <v>285773328</v>
      </c>
      <c r="H53" s="16">
        <v>24618.65</v>
      </c>
    </row>
    <row r="54" spans="1:8" ht="15" thickBot="1" x14ac:dyDescent="0.35">
      <c r="A54" s="17">
        <v>21</v>
      </c>
      <c r="B54" s="1" t="s">
        <v>104</v>
      </c>
      <c r="C54" s="4">
        <v>0.17979999999999999</v>
      </c>
      <c r="D54" s="4">
        <v>0.26769999999999999</v>
      </c>
      <c r="E54" s="4">
        <v>0.20499999999999999</v>
      </c>
      <c r="F54" s="4">
        <v>0.34749999999999998</v>
      </c>
      <c r="G54" s="16">
        <v>306398452</v>
      </c>
      <c r="H54" s="16">
        <v>13488.22</v>
      </c>
    </row>
    <row r="55" spans="1:8" ht="15" thickBot="1" x14ac:dyDescent="0.35">
      <c r="A55" s="17">
        <v>22</v>
      </c>
      <c r="B55" s="1" t="s">
        <v>105</v>
      </c>
      <c r="C55" s="4">
        <v>0.18859999999999999</v>
      </c>
      <c r="D55" s="4">
        <v>5.16E-2</v>
      </c>
      <c r="E55" s="4">
        <v>0.25309999999999999</v>
      </c>
      <c r="F55" s="4">
        <v>0.50670000000000004</v>
      </c>
      <c r="G55" s="16">
        <v>171050925</v>
      </c>
      <c r="H55" s="16">
        <v>10771.47</v>
      </c>
    </row>
    <row r="56" spans="1:8" ht="15" thickBot="1" x14ac:dyDescent="0.35">
      <c r="A56" s="17">
        <v>23</v>
      </c>
      <c r="B56" s="1" t="s">
        <v>106</v>
      </c>
      <c r="C56" s="4">
        <v>0.44669999999999999</v>
      </c>
      <c r="D56" s="4">
        <v>3.3099999999999997E-2</v>
      </c>
      <c r="E56" s="4">
        <v>0.21299999999999999</v>
      </c>
      <c r="F56" s="4">
        <v>0.30719999999999997</v>
      </c>
      <c r="G56" s="16">
        <v>390210544</v>
      </c>
      <c r="H56" s="16">
        <v>16964.2</v>
      </c>
    </row>
    <row r="57" spans="1:8" ht="15" thickBot="1" x14ac:dyDescent="0.35">
      <c r="A57" s="17">
        <v>24</v>
      </c>
      <c r="B57" s="1" t="s">
        <v>107</v>
      </c>
      <c r="C57" s="4">
        <v>0.1769</v>
      </c>
      <c r="D57" s="4">
        <v>4.2700000000000002E-2</v>
      </c>
      <c r="E57" s="4">
        <v>0.20119999999999999</v>
      </c>
      <c r="F57" s="4">
        <v>0.57930000000000004</v>
      </c>
      <c r="G57" s="16">
        <v>75618355</v>
      </c>
      <c r="H57" s="16">
        <v>10463.31</v>
      </c>
    </row>
    <row r="58" spans="1:8" ht="15" thickBot="1" x14ac:dyDescent="0.35">
      <c r="A58" s="17">
        <v>25</v>
      </c>
      <c r="B58" s="1" t="s">
        <v>108</v>
      </c>
      <c r="C58" s="4">
        <v>9.69E-2</v>
      </c>
      <c r="D58" s="4">
        <v>2.64E-2</v>
      </c>
      <c r="E58" s="4">
        <v>0.24879999999999999</v>
      </c>
      <c r="F58" s="4">
        <v>0.62790000000000001</v>
      </c>
      <c r="G58" s="16">
        <v>227130162</v>
      </c>
      <c r="H58" s="16">
        <v>8172.21</v>
      </c>
    </row>
    <row r="59" spans="1:8" ht="15" thickBot="1" x14ac:dyDescent="0.35">
      <c r="A59" s="17">
        <v>26</v>
      </c>
      <c r="B59" s="1" t="s">
        <v>109</v>
      </c>
      <c r="C59" s="4">
        <v>0.14660000000000001</v>
      </c>
      <c r="D59" s="4">
        <v>0.192</v>
      </c>
      <c r="E59" s="4">
        <v>0.2883</v>
      </c>
      <c r="F59" s="4">
        <v>0.37319999999999998</v>
      </c>
      <c r="G59" s="16">
        <v>247348959</v>
      </c>
      <c r="H59" s="16">
        <v>13132.41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1783-86D0-450B-B16D-F73BC2FC28F7}">
  <dimension ref="A2:E59"/>
  <sheetViews>
    <sheetView topLeftCell="A41" workbookViewId="0">
      <selection activeCell="B32" sqref="B32"/>
    </sheetView>
  </sheetViews>
  <sheetFormatPr defaultRowHeight="14.4" x14ac:dyDescent="0.3"/>
  <cols>
    <col min="1" max="1" width="4.5546875" customWidth="1"/>
    <col min="2" max="2" width="35.44140625" customWidth="1"/>
    <col min="3" max="3" width="28" customWidth="1"/>
    <col min="4" max="4" width="22.109375" customWidth="1"/>
    <col min="5" max="5" width="36" customWidth="1"/>
  </cols>
  <sheetData>
    <row r="2" spans="1:5" ht="15" thickBot="1" x14ac:dyDescent="0.35">
      <c r="B2" s="20" t="s">
        <v>47</v>
      </c>
    </row>
    <row r="3" spans="1:5" ht="28.2" thickBot="1" x14ac:dyDescent="0.35">
      <c r="B3" s="11" t="s">
        <v>0</v>
      </c>
      <c r="C3" s="12" t="s">
        <v>44</v>
      </c>
      <c r="D3" s="12" t="s">
        <v>45</v>
      </c>
      <c r="E3" s="12" t="s">
        <v>46</v>
      </c>
    </row>
    <row r="4" spans="1:5" ht="15" thickBot="1" x14ac:dyDescent="0.35">
      <c r="A4" s="17">
        <v>1</v>
      </c>
      <c r="B4" s="1" t="s">
        <v>4</v>
      </c>
      <c r="C4" s="3">
        <v>2431</v>
      </c>
      <c r="D4" s="2">
        <v>10.220000000000001</v>
      </c>
      <c r="E4" s="2">
        <v>1.5</v>
      </c>
    </row>
    <row r="5" spans="1:5" ht="15" thickBot="1" x14ac:dyDescent="0.35">
      <c r="A5" s="17">
        <v>2</v>
      </c>
      <c r="B5" s="1" t="s">
        <v>5</v>
      </c>
      <c r="C5" s="3">
        <v>1107</v>
      </c>
      <c r="D5" s="2">
        <v>8.17</v>
      </c>
      <c r="E5" s="2">
        <v>1.7</v>
      </c>
    </row>
    <row r="6" spans="1:5" ht="15" thickBot="1" x14ac:dyDescent="0.35">
      <c r="A6" s="17">
        <v>3</v>
      </c>
      <c r="B6" s="1" t="s">
        <v>6</v>
      </c>
      <c r="C6" s="3">
        <v>2255</v>
      </c>
      <c r="D6" s="2">
        <v>10.91</v>
      </c>
      <c r="E6" s="2">
        <v>1.5</v>
      </c>
    </row>
    <row r="7" spans="1:5" ht="15" thickBot="1" x14ac:dyDescent="0.35">
      <c r="A7" s="17">
        <v>4</v>
      </c>
      <c r="B7" s="1" t="s">
        <v>7</v>
      </c>
      <c r="C7" s="3">
        <v>1705</v>
      </c>
      <c r="D7" s="2">
        <v>13.9</v>
      </c>
      <c r="E7" s="2">
        <v>1.4</v>
      </c>
    </row>
    <row r="8" spans="1:5" ht="15" thickBot="1" x14ac:dyDescent="0.35">
      <c r="A8" s="17">
        <v>5</v>
      </c>
      <c r="B8" s="1" t="s">
        <v>8</v>
      </c>
      <c r="C8" s="3">
        <v>13567</v>
      </c>
      <c r="D8" s="2">
        <v>17.059999999999999</v>
      </c>
      <c r="E8" s="2">
        <v>2</v>
      </c>
    </row>
    <row r="9" spans="1:5" ht="15" thickBot="1" x14ac:dyDescent="0.35">
      <c r="A9" s="17">
        <v>6</v>
      </c>
      <c r="B9" s="1" t="s">
        <v>9</v>
      </c>
      <c r="C9" s="3">
        <v>12532</v>
      </c>
      <c r="D9" s="2">
        <v>20.309999999999999</v>
      </c>
      <c r="E9" s="2">
        <v>1.4</v>
      </c>
    </row>
    <row r="10" spans="1:5" ht="15" thickBot="1" x14ac:dyDescent="0.35">
      <c r="A10" s="17">
        <v>7</v>
      </c>
      <c r="B10" s="1" t="s">
        <v>10</v>
      </c>
      <c r="C10" s="3">
        <v>4748</v>
      </c>
      <c r="D10" s="2">
        <v>12.67</v>
      </c>
      <c r="E10" s="2">
        <v>1.8</v>
      </c>
    </row>
    <row r="11" spans="1:5" ht="15" thickBot="1" x14ac:dyDescent="0.35">
      <c r="A11" s="17">
        <v>8</v>
      </c>
      <c r="B11" s="18" t="s">
        <v>31</v>
      </c>
      <c r="C11" s="3">
        <v>4151</v>
      </c>
      <c r="D11" s="2">
        <v>8.5299999999999994</v>
      </c>
      <c r="E11" s="2">
        <v>1.7</v>
      </c>
    </row>
    <row r="12" spans="1:5" ht="15" thickBot="1" x14ac:dyDescent="0.35">
      <c r="A12" s="17">
        <v>9</v>
      </c>
      <c r="B12" s="1" t="s">
        <v>11</v>
      </c>
      <c r="C12" s="3">
        <v>1589</v>
      </c>
      <c r="D12" s="2">
        <v>7.99</v>
      </c>
      <c r="E12" s="2">
        <v>1.6</v>
      </c>
    </row>
    <row r="13" spans="1:5" ht="15" thickBot="1" x14ac:dyDescent="0.35">
      <c r="A13" s="17">
        <v>10</v>
      </c>
      <c r="B13" s="1" t="s">
        <v>12</v>
      </c>
      <c r="C13" s="3">
        <v>1332</v>
      </c>
      <c r="D13" s="2">
        <v>7.65</v>
      </c>
      <c r="E13" s="2">
        <v>1.7</v>
      </c>
    </row>
    <row r="14" spans="1:5" ht="15" thickBot="1" x14ac:dyDescent="0.35">
      <c r="A14" s="17">
        <v>11</v>
      </c>
      <c r="B14" s="1" t="s">
        <v>13</v>
      </c>
      <c r="C14" s="3">
        <v>94495</v>
      </c>
      <c r="D14" s="2">
        <v>25</v>
      </c>
      <c r="E14" s="2">
        <v>1.7</v>
      </c>
    </row>
    <row r="15" spans="1:5" ht="15" thickBot="1" x14ac:dyDescent="0.35">
      <c r="A15" s="17">
        <v>12</v>
      </c>
      <c r="B15" s="1" t="s">
        <v>14</v>
      </c>
      <c r="C15" s="3">
        <v>3140</v>
      </c>
      <c r="D15" s="2">
        <v>13.35</v>
      </c>
      <c r="E15" s="2">
        <v>1.5</v>
      </c>
    </row>
    <row r="16" spans="1:5" ht="15" thickBot="1" x14ac:dyDescent="0.35">
      <c r="A16" s="17">
        <v>13</v>
      </c>
      <c r="B16" s="1" t="s">
        <v>15</v>
      </c>
      <c r="C16" s="3">
        <v>14172</v>
      </c>
      <c r="D16" s="2">
        <v>16.38</v>
      </c>
      <c r="E16" s="2">
        <v>1.5</v>
      </c>
    </row>
    <row r="17" spans="1:5" ht="15" thickBot="1" x14ac:dyDescent="0.35">
      <c r="A17" s="17">
        <v>14</v>
      </c>
      <c r="B17" s="1" t="s">
        <v>16</v>
      </c>
      <c r="C17" s="2">
        <v>496</v>
      </c>
      <c r="D17" s="2">
        <v>6.95</v>
      </c>
      <c r="E17" s="2">
        <v>1.2</v>
      </c>
    </row>
    <row r="18" spans="1:5" ht="15" thickBot="1" x14ac:dyDescent="0.35">
      <c r="A18" s="17">
        <v>15</v>
      </c>
      <c r="B18" s="1" t="s">
        <v>17</v>
      </c>
      <c r="C18" s="3">
        <v>1474</v>
      </c>
      <c r="D18" s="2">
        <v>9.3000000000000007</v>
      </c>
      <c r="E18" s="2">
        <v>1.5</v>
      </c>
    </row>
    <row r="19" spans="1:5" ht="15" thickBot="1" x14ac:dyDescent="0.35">
      <c r="A19" s="17">
        <v>16</v>
      </c>
      <c r="B19" s="1" t="s">
        <v>18</v>
      </c>
      <c r="C19" s="2">
        <v>827</v>
      </c>
      <c r="D19" s="2">
        <v>5.88</v>
      </c>
      <c r="E19" s="2">
        <v>1.9</v>
      </c>
    </row>
    <row r="20" spans="1:5" ht="15" thickBot="1" x14ac:dyDescent="0.35">
      <c r="A20" s="17">
        <v>17</v>
      </c>
      <c r="B20" s="1" t="s">
        <v>19</v>
      </c>
      <c r="C20" s="3">
        <v>2337</v>
      </c>
      <c r="D20" s="2">
        <v>10.16</v>
      </c>
      <c r="E20" s="2">
        <v>1.6</v>
      </c>
    </row>
    <row r="21" spans="1:5" ht="15" thickBot="1" x14ac:dyDescent="0.35">
      <c r="A21" s="17">
        <v>18</v>
      </c>
      <c r="B21" s="1" t="s">
        <v>20</v>
      </c>
      <c r="C21" s="3">
        <v>7352</v>
      </c>
      <c r="D21" s="2">
        <v>11.72</v>
      </c>
      <c r="E21" s="2">
        <v>1.6</v>
      </c>
    </row>
    <row r="22" spans="1:5" ht="15" thickBot="1" x14ac:dyDescent="0.35">
      <c r="A22" s="17">
        <v>19</v>
      </c>
      <c r="B22" s="1" t="s">
        <v>21</v>
      </c>
      <c r="C22" s="2">
        <v>870</v>
      </c>
      <c r="D22" s="2">
        <v>8.2899999999999991</v>
      </c>
      <c r="E22" s="2">
        <v>1.7</v>
      </c>
    </row>
    <row r="23" spans="1:5" ht="15" thickBot="1" x14ac:dyDescent="0.35">
      <c r="A23" s="17">
        <v>20</v>
      </c>
      <c r="B23" s="1" t="s">
        <v>22</v>
      </c>
      <c r="C23" s="3">
        <v>3552</v>
      </c>
      <c r="D23" s="2">
        <v>12.89</v>
      </c>
      <c r="E23" s="2">
        <v>1.6</v>
      </c>
    </row>
    <row r="24" spans="1:5" ht="15" thickBot="1" x14ac:dyDescent="0.35">
      <c r="A24" s="17">
        <v>21</v>
      </c>
      <c r="B24" s="1" t="s">
        <v>23</v>
      </c>
      <c r="C24" s="3">
        <v>1736</v>
      </c>
      <c r="D24" s="2">
        <v>8.41</v>
      </c>
      <c r="E24" s="2">
        <v>1.7</v>
      </c>
    </row>
    <row r="25" spans="1:5" ht="15" thickBot="1" x14ac:dyDescent="0.35">
      <c r="A25" s="17">
        <v>22</v>
      </c>
      <c r="B25" s="1" t="s">
        <v>24</v>
      </c>
      <c r="C25" s="3">
        <v>1399</v>
      </c>
      <c r="D25" s="2">
        <v>12.85</v>
      </c>
      <c r="E25" s="2">
        <v>1.6</v>
      </c>
    </row>
    <row r="26" spans="1:5" ht="15" thickBot="1" x14ac:dyDescent="0.35">
      <c r="A26" s="17">
        <v>23</v>
      </c>
      <c r="B26" s="1" t="s">
        <v>25</v>
      </c>
      <c r="C26" s="3">
        <v>1565</v>
      </c>
      <c r="D26" s="2">
        <v>8.4</v>
      </c>
      <c r="E26" s="2">
        <v>1.9</v>
      </c>
    </row>
    <row r="27" spans="1:5" ht="15" thickBot="1" x14ac:dyDescent="0.35">
      <c r="A27" s="17">
        <v>24</v>
      </c>
      <c r="B27" s="1" t="s">
        <v>32</v>
      </c>
      <c r="C27" s="3">
        <v>5945</v>
      </c>
      <c r="D27" s="2">
        <v>12.02</v>
      </c>
      <c r="E27" s="2">
        <v>1.6</v>
      </c>
    </row>
    <row r="28" spans="1:5" ht="15" thickBot="1" x14ac:dyDescent="0.35">
      <c r="A28" s="17">
        <v>25</v>
      </c>
      <c r="B28" s="1" t="s">
        <v>26</v>
      </c>
      <c r="C28" s="3">
        <v>3857</v>
      </c>
      <c r="D28" s="2">
        <v>10.39</v>
      </c>
      <c r="E28" s="2">
        <v>1.4</v>
      </c>
    </row>
    <row r="29" spans="1:5" ht="15" thickBot="1" x14ac:dyDescent="0.35">
      <c r="A29" s="17">
        <v>26</v>
      </c>
      <c r="B29" s="19" t="s">
        <v>27</v>
      </c>
      <c r="C29" s="3">
        <v>1425</v>
      </c>
      <c r="D29" s="2">
        <v>7.11</v>
      </c>
      <c r="E29" s="2">
        <v>1.9</v>
      </c>
    </row>
    <row r="30" spans="1:5" ht="15" thickBot="1" x14ac:dyDescent="0.35">
      <c r="A30" s="17">
        <v>27</v>
      </c>
      <c r="B30" s="1" t="s">
        <v>28</v>
      </c>
      <c r="C30" s="3">
        <v>1174</v>
      </c>
      <c r="D30" s="2">
        <v>8.5500000000000007</v>
      </c>
      <c r="E30" s="2">
        <v>1.4</v>
      </c>
    </row>
    <row r="32" spans="1:5" ht="15" thickBot="1" x14ac:dyDescent="0.35">
      <c r="B32" s="20" t="s">
        <v>114</v>
      </c>
    </row>
    <row r="33" spans="1:5" ht="28.2" thickBot="1" x14ac:dyDescent="0.35">
      <c r="B33" s="11" t="s">
        <v>112</v>
      </c>
      <c r="C33" s="12" t="s">
        <v>44</v>
      </c>
      <c r="D33" s="12" t="s">
        <v>45</v>
      </c>
      <c r="E33" s="12" t="s">
        <v>46</v>
      </c>
    </row>
    <row r="34" spans="1:5" ht="15" thickBot="1" x14ac:dyDescent="0.35">
      <c r="A34" s="17">
        <v>1</v>
      </c>
      <c r="B34" s="1" t="s">
        <v>84</v>
      </c>
      <c r="C34" s="3">
        <v>2750</v>
      </c>
      <c r="D34" s="2">
        <v>6.62</v>
      </c>
      <c r="E34" s="2">
        <v>1.8</v>
      </c>
    </row>
    <row r="35" spans="1:5" ht="15" thickBot="1" x14ac:dyDescent="0.35">
      <c r="A35" s="17">
        <v>2</v>
      </c>
      <c r="B35" s="1" t="s">
        <v>85</v>
      </c>
      <c r="C35" s="2">
        <v>915</v>
      </c>
      <c r="D35" s="2">
        <v>8.93</v>
      </c>
      <c r="E35" s="2">
        <v>1.9</v>
      </c>
    </row>
    <row r="36" spans="1:5" ht="15" thickBot="1" x14ac:dyDescent="0.35">
      <c r="A36" s="17">
        <v>3</v>
      </c>
      <c r="B36" s="1" t="s">
        <v>86</v>
      </c>
      <c r="C36" s="3">
        <v>3712</v>
      </c>
      <c r="D36" s="2">
        <v>8.3800000000000008</v>
      </c>
      <c r="E36" s="2">
        <v>1.7</v>
      </c>
    </row>
    <row r="37" spans="1:5" ht="15" thickBot="1" x14ac:dyDescent="0.35">
      <c r="A37" s="17">
        <v>4</v>
      </c>
      <c r="B37" s="1" t="s">
        <v>87</v>
      </c>
      <c r="C37" s="2">
        <v>916</v>
      </c>
      <c r="D37" s="2">
        <v>10.09</v>
      </c>
      <c r="E37" s="2">
        <v>1.5</v>
      </c>
    </row>
    <row r="38" spans="1:5" ht="15" thickBot="1" x14ac:dyDescent="0.35">
      <c r="A38" s="17">
        <v>5</v>
      </c>
      <c r="B38" s="1" t="s">
        <v>88</v>
      </c>
      <c r="C38" s="3">
        <v>3673</v>
      </c>
      <c r="D38" s="2">
        <v>7.05</v>
      </c>
      <c r="E38" s="2">
        <v>1.9</v>
      </c>
    </row>
    <row r="39" spans="1:5" ht="15" thickBot="1" x14ac:dyDescent="0.35">
      <c r="A39" s="17">
        <v>6</v>
      </c>
      <c r="B39" s="1" t="s">
        <v>89</v>
      </c>
      <c r="C39" s="3">
        <v>1522</v>
      </c>
      <c r="D39" s="2">
        <v>5.28</v>
      </c>
      <c r="E39" s="2">
        <v>1.5</v>
      </c>
    </row>
    <row r="40" spans="1:5" ht="15" thickBot="1" x14ac:dyDescent="0.35">
      <c r="A40" s="17">
        <v>7</v>
      </c>
      <c r="B40" s="1" t="s">
        <v>90</v>
      </c>
      <c r="C40" s="2">
        <v>627</v>
      </c>
      <c r="D40" s="2">
        <v>5.65</v>
      </c>
      <c r="E40" s="2">
        <v>1.4</v>
      </c>
    </row>
    <row r="41" spans="1:5" ht="15" thickBot="1" x14ac:dyDescent="0.35">
      <c r="A41" s="17">
        <v>8</v>
      </c>
      <c r="B41" s="1" t="s">
        <v>91</v>
      </c>
      <c r="C41" s="3">
        <v>2977</v>
      </c>
      <c r="D41" s="2">
        <v>12.24</v>
      </c>
      <c r="E41" s="2">
        <v>1.2</v>
      </c>
    </row>
    <row r="42" spans="1:5" ht="15" thickBot="1" x14ac:dyDescent="0.35">
      <c r="A42" s="17">
        <v>9</v>
      </c>
      <c r="B42" s="1" t="s">
        <v>92</v>
      </c>
      <c r="C42" s="3">
        <v>1212</v>
      </c>
      <c r="D42" s="2">
        <v>6.61</v>
      </c>
      <c r="E42" s="2">
        <v>1.4</v>
      </c>
    </row>
    <row r="43" spans="1:5" ht="15" thickBot="1" x14ac:dyDescent="0.35">
      <c r="A43" s="17">
        <v>10</v>
      </c>
      <c r="B43" s="1" t="s">
        <v>93</v>
      </c>
      <c r="C43" s="3">
        <v>1159</v>
      </c>
      <c r="D43" s="2">
        <v>6.77</v>
      </c>
      <c r="E43" s="2">
        <v>1.5</v>
      </c>
    </row>
    <row r="44" spans="1:5" ht="15" thickBot="1" x14ac:dyDescent="0.35">
      <c r="A44" s="17">
        <v>11</v>
      </c>
      <c r="B44" s="1" t="s">
        <v>94</v>
      </c>
      <c r="C44" s="3">
        <v>29398</v>
      </c>
      <c r="D44" s="2">
        <v>20.63</v>
      </c>
      <c r="E44" s="2">
        <v>1.6</v>
      </c>
    </row>
    <row r="45" spans="1:5" ht="15" thickBot="1" x14ac:dyDescent="0.35">
      <c r="A45" s="17">
        <v>12</v>
      </c>
      <c r="B45" s="1" t="s">
        <v>95</v>
      </c>
      <c r="C45" s="2">
        <v>911</v>
      </c>
      <c r="D45" s="2">
        <v>5.31</v>
      </c>
      <c r="E45" s="2">
        <v>1.7</v>
      </c>
    </row>
    <row r="46" spans="1:5" ht="15" thickBot="1" x14ac:dyDescent="0.35">
      <c r="A46" s="17">
        <v>13</v>
      </c>
      <c r="B46" s="1" t="s">
        <v>96</v>
      </c>
      <c r="C46" s="3">
        <v>1608</v>
      </c>
      <c r="D46" s="2">
        <v>4.92</v>
      </c>
      <c r="E46" s="2">
        <v>2</v>
      </c>
    </row>
    <row r="47" spans="1:5" ht="15" thickBot="1" x14ac:dyDescent="0.35">
      <c r="A47" s="17">
        <v>14</v>
      </c>
      <c r="B47" s="1" t="s">
        <v>97</v>
      </c>
      <c r="C47" s="3">
        <v>1136</v>
      </c>
      <c r="D47" s="2">
        <v>9.86</v>
      </c>
      <c r="E47" s="2">
        <v>1.3</v>
      </c>
    </row>
    <row r="48" spans="1:5" ht="15" thickBot="1" x14ac:dyDescent="0.35">
      <c r="A48" s="17">
        <v>15</v>
      </c>
      <c r="B48" s="1" t="s">
        <v>98</v>
      </c>
      <c r="C48" s="3">
        <v>1371</v>
      </c>
      <c r="D48" s="2">
        <v>8.94</v>
      </c>
      <c r="E48" s="2">
        <v>1.5</v>
      </c>
    </row>
    <row r="49" spans="1:5" ht="15" thickBot="1" x14ac:dyDescent="0.35">
      <c r="A49" s="17">
        <v>16</v>
      </c>
      <c r="B49" s="1" t="s">
        <v>99</v>
      </c>
      <c r="C49" s="3">
        <v>1174</v>
      </c>
      <c r="D49" s="2">
        <v>8.6</v>
      </c>
      <c r="E49" s="2">
        <v>1.6</v>
      </c>
    </row>
    <row r="50" spans="1:5" ht="15" thickBot="1" x14ac:dyDescent="0.35">
      <c r="A50" s="17">
        <v>17</v>
      </c>
      <c r="B50" s="1" t="s">
        <v>100</v>
      </c>
      <c r="C50" s="2">
        <v>652</v>
      </c>
      <c r="D50" s="2">
        <v>5.46</v>
      </c>
      <c r="E50" s="2">
        <v>1.4</v>
      </c>
    </row>
    <row r="51" spans="1:5" ht="15" thickBot="1" x14ac:dyDescent="0.35">
      <c r="A51" s="17">
        <v>18</v>
      </c>
      <c r="B51" s="1" t="s">
        <v>101</v>
      </c>
      <c r="C51" s="3">
        <v>5294</v>
      </c>
      <c r="D51" s="2">
        <v>13.37</v>
      </c>
      <c r="E51" s="2">
        <v>1.4</v>
      </c>
    </row>
    <row r="52" spans="1:5" ht="15" thickBot="1" x14ac:dyDescent="0.35">
      <c r="A52" s="17">
        <v>19</v>
      </c>
      <c r="B52" s="1" t="s">
        <v>102</v>
      </c>
      <c r="C52" s="2">
        <v>559</v>
      </c>
      <c r="D52" s="2">
        <v>7.95</v>
      </c>
      <c r="E52" s="2">
        <v>1.7</v>
      </c>
    </row>
    <row r="53" spans="1:5" ht="15" thickBot="1" x14ac:dyDescent="0.35">
      <c r="A53" s="17">
        <v>20</v>
      </c>
      <c r="B53" s="1" t="s">
        <v>103</v>
      </c>
      <c r="C53" s="3">
        <v>1293</v>
      </c>
      <c r="D53" s="2">
        <v>10.6</v>
      </c>
      <c r="E53" s="2">
        <v>1.4</v>
      </c>
    </row>
    <row r="54" spans="1:5" ht="15" thickBot="1" x14ac:dyDescent="0.35">
      <c r="A54" s="17">
        <v>21</v>
      </c>
      <c r="B54" s="1" t="s">
        <v>104</v>
      </c>
      <c r="C54" s="3">
        <v>1411</v>
      </c>
      <c r="D54" s="2">
        <v>6.19</v>
      </c>
      <c r="E54" s="2">
        <v>1.8</v>
      </c>
    </row>
    <row r="55" spans="1:5" ht="15" thickBot="1" x14ac:dyDescent="0.35">
      <c r="A55" s="17">
        <v>22</v>
      </c>
      <c r="B55" s="1" t="s">
        <v>105</v>
      </c>
      <c r="C55" s="2">
        <v>826</v>
      </c>
      <c r="D55" s="2">
        <v>5.97</v>
      </c>
      <c r="E55" s="2">
        <v>1.3</v>
      </c>
    </row>
    <row r="56" spans="1:5" ht="15" thickBot="1" x14ac:dyDescent="0.35">
      <c r="A56" s="17">
        <v>23</v>
      </c>
      <c r="B56" s="1" t="s">
        <v>106</v>
      </c>
      <c r="C56" s="3">
        <v>2644</v>
      </c>
      <c r="D56" s="2">
        <v>11.09</v>
      </c>
      <c r="E56" s="2">
        <v>1.2</v>
      </c>
    </row>
    <row r="57" spans="1:5" ht="15" thickBot="1" x14ac:dyDescent="0.35">
      <c r="A57" s="17">
        <v>24</v>
      </c>
      <c r="B57" s="1" t="s">
        <v>107</v>
      </c>
      <c r="C57" s="2">
        <v>549</v>
      </c>
      <c r="D57" s="2">
        <v>8.43</v>
      </c>
      <c r="E57" s="2">
        <v>1.4</v>
      </c>
    </row>
    <row r="58" spans="1:5" ht="15" thickBot="1" x14ac:dyDescent="0.35">
      <c r="A58" s="17">
        <v>25</v>
      </c>
      <c r="B58" s="1" t="s">
        <v>108</v>
      </c>
      <c r="C58" s="3">
        <v>1761</v>
      </c>
      <c r="D58" s="2">
        <v>6.54</v>
      </c>
      <c r="E58" s="2">
        <v>1.7</v>
      </c>
    </row>
    <row r="59" spans="1:5" ht="15" thickBot="1" x14ac:dyDescent="0.35">
      <c r="A59" s="17">
        <v>26</v>
      </c>
      <c r="B59" s="1" t="s">
        <v>109</v>
      </c>
      <c r="C59" s="3">
        <v>1348</v>
      </c>
      <c r="D59" s="2">
        <v>7.81</v>
      </c>
      <c r="E59" s="2">
        <v>1.9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9094-2326-4347-B75C-451916D8C666}">
  <dimension ref="A2:E59"/>
  <sheetViews>
    <sheetView topLeftCell="A23" workbookViewId="0">
      <selection activeCell="A34" sqref="A34:A59"/>
    </sheetView>
  </sheetViews>
  <sheetFormatPr defaultRowHeight="14.4" x14ac:dyDescent="0.3"/>
  <cols>
    <col min="1" max="1" width="5.44140625" customWidth="1"/>
    <col min="2" max="2" width="29.6640625" customWidth="1"/>
    <col min="3" max="3" width="25.77734375" customWidth="1"/>
    <col min="4" max="4" width="24.109375" customWidth="1"/>
    <col min="5" max="5" width="25.109375" customWidth="1"/>
  </cols>
  <sheetData>
    <row r="2" spans="1:5" ht="15" thickBot="1" x14ac:dyDescent="0.35">
      <c r="B2" s="20" t="s">
        <v>51</v>
      </c>
    </row>
    <row r="3" spans="1:5" ht="28.2" thickBot="1" x14ac:dyDescent="0.35">
      <c r="B3" s="11" t="s">
        <v>0</v>
      </c>
      <c r="C3" s="12" t="s">
        <v>48</v>
      </c>
      <c r="D3" s="12" t="s">
        <v>49</v>
      </c>
      <c r="E3" s="12" t="s">
        <v>50</v>
      </c>
    </row>
    <row r="4" spans="1:5" ht="15" thickBot="1" x14ac:dyDescent="0.35">
      <c r="A4" s="17">
        <v>1</v>
      </c>
      <c r="B4" s="1" t="s">
        <v>4</v>
      </c>
      <c r="C4" s="2">
        <v>0</v>
      </c>
      <c r="D4" s="2">
        <v>0</v>
      </c>
      <c r="E4" s="2">
        <v>0</v>
      </c>
    </row>
    <row r="5" spans="1:5" ht="15" thickBot="1" x14ac:dyDescent="0.35">
      <c r="A5" s="17">
        <v>2</v>
      </c>
      <c r="B5" s="1" t="s">
        <v>5</v>
      </c>
      <c r="C5" s="2">
        <v>0</v>
      </c>
      <c r="D5" s="2">
        <v>0</v>
      </c>
      <c r="E5" s="2">
        <v>0</v>
      </c>
    </row>
    <row r="6" spans="1:5" ht="15" thickBot="1" x14ac:dyDescent="0.35">
      <c r="A6" s="17">
        <v>3</v>
      </c>
      <c r="B6" s="1" t="s">
        <v>6</v>
      </c>
      <c r="C6" s="2">
        <v>0</v>
      </c>
      <c r="D6" s="2">
        <v>0</v>
      </c>
      <c r="E6" s="2">
        <v>0</v>
      </c>
    </row>
    <row r="7" spans="1:5" ht="15" thickBot="1" x14ac:dyDescent="0.35">
      <c r="A7" s="17">
        <v>4</v>
      </c>
      <c r="B7" s="1" t="s">
        <v>7</v>
      </c>
      <c r="C7" s="2">
        <v>0</v>
      </c>
      <c r="D7" s="2">
        <v>0</v>
      </c>
      <c r="E7" s="2">
        <v>0</v>
      </c>
    </row>
    <row r="8" spans="1:5" ht="15" thickBot="1" x14ac:dyDescent="0.35">
      <c r="A8" s="17">
        <v>5</v>
      </c>
      <c r="B8" s="1" t="s">
        <v>8</v>
      </c>
      <c r="C8" s="2">
        <v>0</v>
      </c>
      <c r="D8" s="2">
        <v>1</v>
      </c>
      <c r="E8" s="2">
        <v>1</v>
      </c>
    </row>
    <row r="9" spans="1:5" ht="15" thickBot="1" x14ac:dyDescent="0.35">
      <c r="A9" s="17">
        <v>6</v>
      </c>
      <c r="B9" s="1" t="s">
        <v>9</v>
      </c>
      <c r="C9" s="2">
        <v>0</v>
      </c>
      <c r="D9" s="2">
        <v>0</v>
      </c>
      <c r="E9" s="2">
        <v>1</v>
      </c>
    </row>
    <row r="10" spans="1:5" ht="15" thickBot="1" x14ac:dyDescent="0.35">
      <c r="A10" s="17">
        <v>7</v>
      </c>
      <c r="B10" s="1" t="s">
        <v>10</v>
      </c>
      <c r="C10" s="2">
        <v>0</v>
      </c>
      <c r="D10" s="2">
        <v>0</v>
      </c>
      <c r="E10" s="2">
        <v>0</v>
      </c>
    </row>
    <row r="11" spans="1:5" ht="15" thickBot="1" x14ac:dyDescent="0.35">
      <c r="A11" s="17">
        <v>8</v>
      </c>
      <c r="B11" s="1" t="s">
        <v>31</v>
      </c>
      <c r="C11" s="2">
        <v>0</v>
      </c>
      <c r="D11" s="2">
        <v>0</v>
      </c>
      <c r="E11" s="2">
        <v>0</v>
      </c>
    </row>
    <row r="12" spans="1:5" ht="15" thickBot="1" x14ac:dyDescent="0.35">
      <c r="A12" s="17">
        <v>9</v>
      </c>
      <c r="B12" s="1" t="s">
        <v>11</v>
      </c>
      <c r="C12" s="2">
        <v>0</v>
      </c>
      <c r="D12" s="2">
        <v>0</v>
      </c>
      <c r="E12" s="2">
        <v>0</v>
      </c>
    </row>
    <row r="13" spans="1:5" ht="15" thickBot="1" x14ac:dyDescent="0.35">
      <c r="A13" s="17">
        <v>10</v>
      </c>
      <c r="B13" s="1" t="s">
        <v>12</v>
      </c>
      <c r="C13" s="2">
        <v>0</v>
      </c>
      <c r="D13" s="2">
        <v>0</v>
      </c>
      <c r="E13" s="2">
        <v>0</v>
      </c>
    </row>
    <row r="14" spans="1:5" ht="15" thickBot="1" x14ac:dyDescent="0.35">
      <c r="A14" s="17">
        <v>11</v>
      </c>
      <c r="B14" s="1" t="s">
        <v>13</v>
      </c>
      <c r="C14" s="2">
        <v>2</v>
      </c>
      <c r="D14" s="2">
        <v>5</v>
      </c>
      <c r="E14" s="2">
        <v>18</v>
      </c>
    </row>
    <row r="15" spans="1:5" ht="15" thickBot="1" x14ac:dyDescent="0.35">
      <c r="A15" s="17">
        <v>12</v>
      </c>
      <c r="B15" s="1" t="s">
        <v>14</v>
      </c>
      <c r="C15" s="2">
        <v>0</v>
      </c>
      <c r="D15" s="2">
        <v>0</v>
      </c>
      <c r="E15" s="2">
        <v>0</v>
      </c>
    </row>
    <row r="16" spans="1:5" ht="15" thickBot="1" x14ac:dyDescent="0.35">
      <c r="A16" s="17">
        <v>13</v>
      </c>
      <c r="B16" s="1" t="s">
        <v>15</v>
      </c>
      <c r="C16" s="2">
        <v>0</v>
      </c>
      <c r="D16" s="2">
        <v>0</v>
      </c>
      <c r="E16" s="2">
        <v>2</v>
      </c>
    </row>
    <row r="17" spans="1:5" ht="15" thickBot="1" x14ac:dyDescent="0.35">
      <c r="A17" s="17">
        <v>14</v>
      </c>
      <c r="B17" s="1" t="s">
        <v>16</v>
      </c>
      <c r="C17" s="2">
        <v>0</v>
      </c>
      <c r="D17" s="2">
        <v>0</v>
      </c>
      <c r="E17" s="2">
        <v>0</v>
      </c>
    </row>
    <row r="18" spans="1:5" ht="15" thickBot="1" x14ac:dyDescent="0.35">
      <c r="A18" s="17">
        <v>15</v>
      </c>
      <c r="B18" s="1" t="s">
        <v>17</v>
      </c>
      <c r="C18" s="2">
        <v>0</v>
      </c>
      <c r="D18" s="2">
        <v>0</v>
      </c>
      <c r="E18" s="2">
        <v>0</v>
      </c>
    </row>
    <row r="19" spans="1:5" ht="15" thickBot="1" x14ac:dyDescent="0.35">
      <c r="A19" s="17">
        <v>16</v>
      </c>
      <c r="B19" s="1" t="s">
        <v>18</v>
      </c>
      <c r="C19" s="2">
        <v>0</v>
      </c>
      <c r="D19" s="2">
        <v>0</v>
      </c>
      <c r="E19" s="2">
        <v>0</v>
      </c>
    </row>
    <row r="20" spans="1:5" ht="15" thickBot="1" x14ac:dyDescent="0.35">
      <c r="A20" s="17">
        <v>17</v>
      </c>
      <c r="B20" s="1" t="s">
        <v>19</v>
      </c>
      <c r="C20" s="2">
        <v>0</v>
      </c>
      <c r="D20" s="2">
        <v>0</v>
      </c>
      <c r="E20" s="2">
        <v>0</v>
      </c>
    </row>
    <row r="21" spans="1:5" ht="15" thickBot="1" x14ac:dyDescent="0.35">
      <c r="A21" s="17">
        <v>18</v>
      </c>
      <c r="B21" s="1" t="s">
        <v>20</v>
      </c>
      <c r="C21" s="2">
        <v>0</v>
      </c>
      <c r="D21" s="2">
        <v>0</v>
      </c>
      <c r="E21" s="2">
        <v>1</v>
      </c>
    </row>
    <row r="22" spans="1:5" ht="15" thickBot="1" x14ac:dyDescent="0.35">
      <c r="A22" s="17">
        <v>19</v>
      </c>
      <c r="B22" s="1" t="s">
        <v>21</v>
      </c>
      <c r="C22" s="2">
        <v>0</v>
      </c>
      <c r="D22" s="2">
        <v>0</v>
      </c>
      <c r="E22" s="2">
        <v>0</v>
      </c>
    </row>
    <row r="23" spans="1:5" ht="15" thickBot="1" x14ac:dyDescent="0.35">
      <c r="A23" s="17">
        <v>20</v>
      </c>
      <c r="B23" s="1" t="s">
        <v>22</v>
      </c>
      <c r="C23" s="2">
        <v>0</v>
      </c>
      <c r="D23" s="2">
        <v>0</v>
      </c>
      <c r="E23" s="2">
        <v>0</v>
      </c>
    </row>
    <row r="24" spans="1:5" ht="15" thickBot="1" x14ac:dyDescent="0.35">
      <c r="A24" s="17">
        <v>21</v>
      </c>
      <c r="B24" s="1" t="s">
        <v>23</v>
      </c>
      <c r="C24" s="2">
        <v>0</v>
      </c>
      <c r="D24" s="2">
        <v>0</v>
      </c>
      <c r="E24" s="2">
        <v>0</v>
      </c>
    </row>
    <row r="25" spans="1:5" ht="15" thickBot="1" x14ac:dyDescent="0.35">
      <c r="A25" s="17">
        <v>22</v>
      </c>
      <c r="B25" s="1" t="s">
        <v>24</v>
      </c>
      <c r="C25" s="2">
        <v>0</v>
      </c>
      <c r="D25" s="2">
        <v>0</v>
      </c>
      <c r="E25" s="2">
        <v>0</v>
      </c>
    </row>
    <row r="26" spans="1:5" ht="15" thickBot="1" x14ac:dyDescent="0.35">
      <c r="A26" s="17">
        <v>23</v>
      </c>
      <c r="B26" s="1" t="s">
        <v>25</v>
      </c>
      <c r="C26" s="2">
        <v>0</v>
      </c>
      <c r="D26" s="2">
        <v>0</v>
      </c>
      <c r="E26" s="2">
        <v>0</v>
      </c>
    </row>
    <row r="27" spans="1:5" ht="15" thickBot="1" x14ac:dyDescent="0.35">
      <c r="A27" s="17">
        <v>24</v>
      </c>
      <c r="B27" s="1" t="s">
        <v>32</v>
      </c>
      <c r="C27" s="2">
        <v>0</v>
      </c>
      <c r="D27" s="2">
        <v>0</v>
      </c>
      <c r="E27" s="2">
        <v>0</v>
      </c>
    </row>
    <row r="28" spans="1:5" ht="15" thickBot="1" x14ac:dyDescent="0.35">
      <c r="A28" s="17">
        <v>25</v>
      </c>
      <c r="B28" s="1" t="s">
        <v>26</v>
      </c>
      <c r="C28" s="2">
        <v>0</v>
      </c>
      <c r="D28" s="2">
        <v>0</v>
      </c>
      <c r="E28" s="2">
        <v>0</v>
      </c>
    </row>
    <row r="29" spans="1:5" ht="15" thickBot="1" x14ac:dyDescent="0.35">
      <c r="A29" s="17">
        <v>26</v>
      </c>
      <c r="B29" s="1" t="s">
        <v>27</v>
      </c>
      <c r="C29" s="2">
        <v>0</v>
      </c>
      <c r="D29" s="2">
        <v>0</v>
      </c>
      <c r="E29" s="2">
        <v>0</v>
      </c>
    </row>
    <row r="30" spans="1:5" ht="15" thickBot="1" x14ac:dyDescent="0.35">
      <c r="A30" s="17">
        <v>27</v>
      </c>
      <c r="B30" s="1" t="s">
        <v>28</v>
      </c>
      <c r="C30" s="2">
        <v>0</v>
      </c>
      <c r="D30" s="2">
        <v>0</v>
      </c>
      <c r="E30" s="2">
        <v>0</v>
      </c>
    </row>
    <row r="32" spans="1:5" ht="15" thickBot="1" x14ac:dyDescent="0.35">
      <c r="B32" s="13" t="s">
        <v>113</v>
      </c>
    </row>
    <row r="33" spans="1:5" ht="28.2" thickBot="1" x14ac:dyDescent="0.35">
      <c r="B33" s="11" t="s">
        <v>112</v>
      </c>
      <c r="C33" s="12" t="s">
        <v>48</v>
      </c>
      <c r="D33" s="12" t="s">
        <v>49</v>
      </c>
      <c r="E33" s="12" t="s">
        <v>50</v>
      </c>
    </row>
    <row r="34" spans="1:5" ht="15" thickBot="1" x14ac:dyDescent="0.35">
      <c r="A34" s="17">
        <v>1</v>
      </c>
      <c r="B34" s="1" t="s">
        <v>84</v>
      </c>
      <c r="C34" s="2">
        <v>0</v>
      </c>
      <c r="D34" s="2">
        <v>0</v>
      </c>
      <c r="E34" s="2">
        <v>0</v>
      </c>
    </row>
    <row r="35" spans="1:5" ht="15" thickBot="1" x14ac:dyDescent="0.35">
      <c r="A35" s="17">
        <v>2</v>
      </c>
      <c r="B35" s="1" t="s">
        <v>85</v>
      </c>
      <c r="C35" s="2">
        <v>0</v>
      </c>
      <c r="D35" s="2">
        <v>0</v>
      </c>
      <c r="E35" s="2">
        <v>0</v>
      </c>
    </row>
    <row r="36" spans="1:5" ht="15" thickBot="1" x14ac:dyDescent="0.35">
      <c r="A36" s="17">
        <v>3</v>
      </c>
      <c r="B36" s="1" t="s">
        <v>86</v>
      </c>
      <c r="C36" s="2">
        <v>0</v>
      </c>
      <c r="D36" s="2">
        <v>0</v>
      </c>
      <c r="E36" s="2">
        <v>0</v>
      </c>
    </row>
    <row r="37" spans="1:5" ht="15" thickBot="1" x14ac:dyDescent="0.35">
      <c r="A37" s="17">
        <v>4</v>
      </c>
      <c r="B37" s="1" t="s">
        <v>87</v>
      </c>
      <c r="C37" s="2">
        <v>0</v>
      </c>
      <c r="D37" s="2">
        <v>0</v>
      </c>
      <c r="E37" s="2">
        <v>0</v>
      </c>
    </row>
    <row r="38" spans="1:5" ht="15" thickBot="1" x14ac:dyDescent="0.35">
      <c r="A38" s="17">
        <v>5</v>
      </c>
      <c r="B38" s="1" t="s">
        <v>88</v>
      </c>
      <c r="C38" s="2">
        <v>0</v>
      </c>
      <c r="D38" s="2">
        <v>0</v>
      </c>
      <c r="E38" s="2">
        <v>1</v>
      </c>
    </row>
    <row r="39" spans="1:5" ht="15" thickBot="1" x14ac:dyDescent="0.35">
      <c r="A39" s="17">
        <v>6</v>
      </c>
      <c r="B39" s="1" t="s">
        <v>89</v>
      </c>
      <c r="C39" s="2">
        <v>0</v>
      </c>
      <c r="D39" s="2">
        <v>0</v>
      </c>
      <c r="E39" s="2">
        <v>0</v>
      </c>
    </row>
    <row r="40" spans="1:5" ht="15" thickBot="1" x14ac:dyDescent="0.35">
      <c r="A40" s="17">
        <v>7</v>
      </c>
      <c r="B40" s="1" t="s">
        <v>90</v>
      </c>
      <c r="C40" s="2">
        <v>0</v>
      </c>
      <c r="D40" s="2">
        <v>0</v>
      </c>
      <c r="E40" s="2">
        <v>0</v>
      </c>
    </row>
    <row r="41" spans="1:5" ht="15" thickBot="1" x14ac:dyDescent="0.35">
      <c r="A41" s="17">
        <v>8</v>
      </c>
      <c r="B41" s="1" t="s">
        <v>91</v>
      </c>
      <c r="C41" s="2">
        <v>0</v>
      </c>
      <c r="D41" s="2">
        <v>0</v>
      </c>
      <c r="E41" s="2">
        <v>0</v>
      </c>
    </row>
    <row r="42" spans="1:5" ht="15" thickBot="1" x14ac:dyDescent="0.35">
      <c r="A42" s="17">
        <v>9</v>
      </c>
      <c r="B42" s="1" t="s">
        <v>92</v>
      </c>
      <c r="C42" s="2">
        <v>0</v>
      </c>
      <c r="D42" s="2">
        <v>0</v>
      </c>
      <c r="E42" s="2">
        <v>0</v>
      </c>
    </row>
    <row r="43" spans="1:5" ht="15" thickBot="1" x14ac:dyDescent="0.35">
      <c r="A43" s="17">
        <v>10</v>
      </c>
      <c r="B43" s="1" t="s">
        <v>93</v>
      </c>
      <c r="C43" s="2">
        <v>0</v>
      </c>
      <c r="D43" s="2">
        <v>0</v>
      </c>
      <c r="E43" s="2">
        <v>0</v>
      </c>
    </row>
    <row r="44" spans="1:5" ht="15" thickBot="1" x14ac:dyDescent="0.35">
      <c r="A44" s="17">
        <v>11</v>
      </c>
      <c r="B44" s="1" t="s">
        <v>94</v>
      </c>
      <c r="C44" s="2">
        <v>1</v>
      </c>
      <c r="D44" s="2">
        <v>1</v>
      </c>
      <c r="E44" s="2">
        <v>3</v>
      </c>
    </row>
    <row r="45" spans="1:5" ht="15" thickBot="1" x14ac:dyDescent="0.35">
      <c r="A45" s="17">
        <v>12</v>
      </c>
      <c r="B45" s="1" t="s">
        <v>95</v>
      </c>
      <c r="C45" s="2">
        <v>0</v>
      </c>
      <c r="D45" s="2">
        <v>0</v>
      </c>
      <c r="E45" s="2">
        <v>0</v>
      </c>
    </row>
    <row r="46" spans="1:5" ht="15" thickBot="1" x14ac:dyDescent="0.35">
      <c r="A46" s="17">
        <v>13</v>
      </c>
      <c r="B46" s="1" t="s">
        <v>96</v>
      </c>
      <c r="C46" s="2">
        <v>0</v>
      </c>
      <c r="D46" s="2">
        <v>0</v>
      </c>
      <c r="E46" s="2">
        <v>0</v>
      </c>
    </row>
    <row r="47" spans="1:5" ht="15" thickBot="1" x14ac:dyDescent="0.35">
      <c r="A47" s="17">
        <v>14</v>
      </c>
      <c r="B47" s="1" t="s">
        <v>97</v>
      </c>
      <c r="C47" s="2">
        <v>0</v>
      </c>
      <c r="D47" s="2">
        <v>0</v>
      </c>
      <c r="E47" s="2">
        <v>0</v>
      </c>
    </row>
    <row r="48" spans="1:5" ht="15" thickBot="1" x14ac:dyDescent="0.35">
      <c r="A48" s="17">
        <v>15</v>
      </c>
      <c r="B48" s="1" t="s">
        <v>98</v>
      </c>
      <c r="C48" s="2">
        <v>0</v>
      </c>
      <c r="D48" s="2">
        <v>0</v>
      </c>
      <c r="E48" s="2">
        <v>0</v>
      </c>
    </row>
    <row r="49" spans="1:5" ht="15" thickBot="1" x14ac:dyDescent="0.35">
      <c r="A49" s="17">
        <v>16</v>
      </c>
      <c r="B49" s="1" t="s">
        <v>99</v>
      </c>
      <c r="C49" s="2">
        <v>0</v>
      </c>
      <c r="D49" s="2">
        <v>0</v>
      </c>
      <c r="E49" s="2">
        <v>0</v>
      </c>
    </row>
    <row r="50" spans="1:5" ht="15" thickBot="1" x14ac:dyDescent="0.35">
      <c r="A50" s="17">
        <v>17</v>
      </c>
      <c r="B50" s="1" t="s">
        <v>100</v>
      </c>
      <c r="C50" s="2">
        <v>0</v>
      </c>
      <c r="D50" s="2">
        <v>0</v>
      </c>
      <c r="E50" s="2">
        <v>0</v>
      </c>
    </row>
    <row r="51" spans="1:5" ht="15" thickBot="1" x14ac:dyDescent="0.35">
      <c r="A51" s="17">
        <v>18</v>
      </c>
      <c r="B51" s="1" t="s">
        <v>101</v>
      </c>
      <c r="C51" s="2">
        <v>0</v>
      </c>
      <c r="D51" s="2">
        <v>0</v>
      </c>
      <c r="E51" s="2">
        <v>0</v>
      </c>
    </row>
    <row r="52" spans="1:5" ht="15" thickBot="1" x14ac:dyDescent="0.35">
      <c r="A52" s="17">
        <v>19</v>
      </c>
      <c r="B52" s="1" t="s">
        <v>102</v>
      </c>
      <c r="C52" s="2">
        <v>0</v>
      </c>
      <c r="D52" s="2">
        <v>0</v>
      </c>
      <c r="E52" s="2">
        <v>0</v>
      </c>
    </row>
    <row r="53" spans="1:5" ht="15" thickBot="1" x14ac:dyDescent="0.35">
      <c r="A53" s="17">
        <v>20</v>
      </c>
      <c r="B53" s="1" t="s">
        <v>103</v>
      </c>
      <c r="C53" s="2">
        <v>0</v>
      </c>
      <c r="D53" s="2">
        <v>0</v>
      </c>
      <c r="E53" s="2">
        <v>0</v>
      </c>
    </row>
    <row r="54" spans="1:5" ht="15" thickBot="1" x14ac:dyDescent="0.35">
      <c r="A54" s="17">
        <v>21</v>
      </c>
      <c r="B54" s="1" t="s">
        <v>104</v>
      </c>
      <c r="C54" s="2">
        <v>0</v>
      </c>
      <c r="D54" s="2">
        <v>0</v>
      </c>
      <c r="E54" s="2">
        <v>0</v>
      </c>
    </row>
    <row r="55" spans="1:5" ht="15" thickBot="1" x14ac:dyDescent="0.35">
      <c r="A55" s="17">
        <v>22</v>
      </c>
      <c r="B55" s="1" t="s">
        <v>105</v>
      </c>
      <c r="C55" s="2">
        <v>0</v>
      </c>
      <c r="D55" s="2">
        <v>0</v>
      </c>
      <c r="E55" s="2">
        <v>0</v>
      </c>
    </row>
    <row r="56" spans="1:5" ht="15" thickBot="1" x14ac:dyDescent="0.35">
      <c r="A56" s="17">
        <v>23</v>
      </c>
      <c r="B56" s="1" t="s">
        <v>106</v>
      </c>
      <c r="C56" s="2">
        <v>0</v>
      </c>
      <c r="D56" s="2">
        <v>0</v>
      </c>
      <c r="E56" s="2">
        <v>0</v>
      </c>
    </row>
    <row r="57" spans="1:5" ht="15" thickBot="1" x14ac:dyDescent="0.35">
      <c r="A57" s="17">
        <v>24</v>
      </c>
      <c r="B57" s="1" t="s">
        <v>107</v>
      </c>
      <c r="C57" s="2">
        <v>0</v>
      </c>
      <c r="D57" s="2">
        <v>0</v>
      </c>
      <c r="E57" s="2">
        <v>0</v>
      </c>
    </row>
    <row r="58" spans="1:5" ht="15" thickBot="1" x14ac:dyDescent="0.35">
      <c r="A58" s="17">
        <v>25</v>
      </c>
      <c r="B58" s="34" t="s">
        <v>108</v>
      </c>
      <c r="C58" s="35">
        <v>0</v>
      </c>
      <c r="D58" s="35">
        <v>0</v>
      </c>
      <c r="E58" s="35">
        <v>0</v>
      </c>
    </row>
    <row r="59" spans="1:5" ht="15" thickBot="1" x14ac:dyDescent="0.35">
      <c r="A59" s="17">
        <v>26</v>
      </c>
      <c r="B59" s="1" t="s">
        <v>109</v>
      </c>
      <c r="C59" s="2">
        <v>0</v>
      </c>
      <c r="D59" s="2">
        <v>0</v>
      </c>
      <c r="E59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ADCA-3C67-4F16-B89D-9CD736150AED}">
  <dimension ref="A2:D59"/>
  <sheetViews>
    <sheetView topLeftCell="A41" workbookViewId="0">
      <selection activeCell="A34" sqref="A34:A59"/>
    </sheetView>
  </sheetViews>
  <sheetFormatPr defaultRowHeight="14.4" x14ac:dyDescent="0.3"/>
  <cols>
    <col min="1" max="1" width="4.5546875" customWidth="1"/>
    <col min="2" max="2" width="24.21875" customWidth="1"/>
    <col min="3" max="3" width="31.88671875" customWidth="1"/>
    <col min="4" max="4" width="25.88671875" customWidth="1"/>
  </cols>
  <sheetData>
    <row r="2" spans="1:4" ht="15" thickBot="1" x14ac:dyDescent="0.35">
      <c r="B2" s="13" t="s">
        <v>54</v>
      </c>
    </row>
    <row r="3" spans="1:4" ht="28.2" thickBot="1" x14ac:dyDescent="0.35">
      <c r="B3" s="11" t="s">
        <v>0</v>
      </c>
      <c r="C3" s="12" t="s">
        <v>52</v>
      </c>
      <c r="D3" s="12" t="s">
        <v>53</v>
      </c>
    </row>
    <row r="4" spans="1:4" ht="15" thickBot="1" x14ac:dyDescent="0.35">
      <c r="A4" s="17">
        <v>1</v>
      </c>
      <c r="B4" s="1" t="s">
        <v>4</v>
      </c>
      <c r="C4" s="2">
        <v>357.69</v>
      </c>
      <c r="D4" s="2">
        <v>20.96</v>
      </c>
    </row>
    <row r="5" spans="1:4" ht="15" thickBot="1" x14ac:dyDescent="0.35">
      <c r="A5" s="17">
        <v>2</v>
      </c>
      <c r="B5" s="1" t="s">
        <v>5</v>
      </c>
      <c r="C5" s="2">
        <v>317.32</v>
      </c>
      <c r="D5" s="2">
        <v>0</v>
      </c>
    </row>
    <row r="6" spans="1:4" ht="15" thickBot="1" x14ac:dyDescent="0.35">
      <c r="A6" s="17">
        <v>3</v>
      </c>
      <c r="B6" s="1" t="s">
        <v>6</v>
      </c>
      <c r="C6" s="2">
        <v>345.41</v>
      </c>
      <c r="D6" s="2">
        <v>9.76</v>
      </c>
    </row>
    <row r="7" spans="1:4" ht="15" thickBot="1" x14ac:dyDescent="0.35">
      <c r="A7" s="17">
        <v>4</v>
      </c>
      <c r="B7" s="1" t="s">
        <v>7</v>
      </c>
      <c r="C7" s="2">
        <v>394.64</v>
      </c>
      <c r="D7" s="2">
        <v>6.9</v>
      </c>
    </row>
    <row r="8" spans="1:4" ht="15" thickBot="1" x14ac:dyDescent="0.35">
      <c r="A8" s="17">
        <v>5</v>
      </c>
      <c r="B8" s="1" t="s">
        <v>8</v>
      </c>
      <c r="C8" s="2">
        <v>322.8</v>
      </c>
      <c r="D8" s="2">
        <v>13.36</v>
      </c>
    </row>
    <row r="9" spans="1:4" ht="15" thickBot="1" x14ac:dyDescent="0.35">
      <c r="A9" s="17">
        <v>6</v>
      </c>
      <c r="B9" s="1" t="s">
        <v>9</v>
      </c>
      <c r="C9" s="2">
        <v>381.65</v>
      </c>
      <c r="D9" s="2">
        <v>9.39</v>
      </c>
    </row>
    <row r="10" spans="1:4" ht="15" thickBot="1" x14ac:dyDescent="0.35">
      <c r="A10" s="17">
        <v>7</v>
      </c>
      <c r="B10" s="1" t="s">
        <v>10</v>
      </c>
      <c r="C10" s="2">
        <v>338.66</v>
      </c>
      <c r="D10" s="2">
        <v>16.25</v>
      </c>
    </row>
    <row r="11" spans="1:4" ht="15" thickBot="1" x14ac:dyDescent="0.35">
      <c r="A11" s="17">
        <v>8</v>
      </c>
      <c r="B11" s="1" t="s">
        <v>31</v>
      </c>
      <c r="C11" s="2">
        <v>306.95</v>
      </c>
      <c r="D11" s="2">
        <v>9.42</v>
      </c>
    </row>
    <row r="12" spans="1:4" ht="15" thickBot="1" x14ac:dyDescent="0.35">
      <c r="A12" s="17">
        <v>9</v>
      </c>
      <c r="B12" s="1" t="s">
        <v>11</v>
      </c>
      <c r="C12" s="2">
        <v>409.06</v>
      </c>
      <c r="D12" s="2">
        <v>11.11</v>
      </c>
    </row>
    <row r="13" spans="1:4" ht="15" thickBot="1" x14ac:dyDescent="0.35">
      <c r="A13" s="17">
        <v>10</v>
      </c>
      <c r="B13" s="1" t="s">
        <v>12</v>
      </c>
      <c r="C13" s="2">
        <v>303.54000000000002</v>
      </c>
      <c r="D13" s="2">
        <v>5.24</v>
      </c>
    </row>
    <row r="14" spans="1:4" ht="15" thickBot="1" x14ac:dyDescent="0.35">
      <c r="A14" s="17">
        <v>11</v>
      </c>
      <c r="B14" s="1" t="s">
        <v>13</v>
      </c>
      <c r="C14" s="2">
        <v>289.02</v>
      </c>
      <c r="D14" s="2">
        <v>11.35</v>
      </c>
    </row>
    <row r="15" spans="1:4" ht="15" thickBot="1" x14ac:dyDescent="0.35">
      <c r="A15" s="17">
        <v>12</v>
      </c>
      <c r="B15" s="1" t="s">
        <v>14</v>
      </c>
      <c r="C15" s="2">
        <v>401.69</v>
      </c>
      <c r="D15" s="2">
        <v>6.58</v>
      </c>
    </row>
    <row r="16" spans="1:4" ht="15" thickBot="1" x14ac:dyDescent="0.35">
      <c r="A16" s="17">
        <v>13</v>
      </c>
      <c r="B16" s="1" t="s">
        <v>15</v>
      </c>
      <c r="C16" s="2">
        <v>318.3</v>
      </c>
      <c r="D16" s="2">
        <v>8.42</v>
      </c>
    </row>
    <row r="17" spans="1:4" ht="15" thickBot="1" x14ac:dyDescent="0.35">
      <c r="A17" s="17">
        <v>14</v>
      </c>
      <c r="B17" s="1" t="s">
        <v>16</v>
      </c>
      <c r="C17" s="2">
        <v>335.86</v>
      </c>
      <c r="D17" s="2">
        <v>14.71</v>
      </c>
    </row>
    <row r="18" spans="1:4" ht="15" thickBot="1" x14ac:dyDescent="0.35">
      <c r="A18" s="17">
        <v>15</v>
      </c>
      <c r="B18" s="1" t="s">
        <v>17</v>
      </c>
      <c r="C18" s="2">
        <v>309</v>
      </c>
      <c r="D18" s="2">
        <v>4.08</v>
      </c>
    </row>
    <row r="19" spans="1:4" ht="15" thickBot="1" x14ac:dyDescent="0.35">
      <c r="A19" s="17">
        <v>16</v>
      </c>
      <c r="B19" s="1" t="s">
        <v>18</v>
      </c>
      <c r="C19" s="2">
        <v>432.27</v>
      </c>
      <c r="D19" s="2">
        <v>6.49</v>
      </c>
    </row>
    <row r="20" spans="1:4" ht="15" thickBot="1" x14ac:dyDescent="0.35">
      <c r="A20" s="17">
        <v>17</v>
      </c>
      <c r="B20" s="1" t="s">
        <v>19</v>
      </c>
      <c r="C20" s="2">
        <v>411.69</v>
      </c>
      <c r="D20" s="2">
        <v>28.27</v>
      </c>
    </row>
    <row r="21" spans="1:4" ht="15" thickBot="1" x14ac:dyDescent="0.35">
      <c r="A21" s="17">
        <v>18</v>
      </c>
      <c r="B21" s="1" t="s">
        <v>20</v>
      </c>
      <c r="C21" s="2">
        <v>340.13</v>
      </c>
      <c r="D21" s="2">
        <v>8.4</v>
      </c>
    </row>
    <row r="22" spans="1:4" ht="15" thickBot="1" x14ac:dyDescent="0.35">
      <c r="A22" s="17">
        <v>19</v>
      </c>
      <c r="B22" s="1" t="s">
        <v>21</v>
      </c>
      <c r="C22" s="2">
        <v>359.78</v>
      </c>
      <c r="D22" s="2">
        <v>13.99</v>
      </c>
    </row>
    <row r="23" spans="1:4" ht="15" thickBot="1" x14ac:dyDescent="0.35">
      <c r="A23" s="17">
        <v>20</v>
      </c>
      <c r="B23" s="1" t="s">
        <v>22</v>
      </c>
      <c r="C23" s="2">
        <v>318.31</v>
      </c>
      <c r="D23" s="2">
        <v>7.27</v>
      </c>
    </row>
    <row r="24" spans="1:4" ht="15" thickBot="1" x14ac:dyDescent="0.35">
      <c r="A24" s="17">
        <v>21</v>
      </c>
      <c r="B24" s="1" t="s">
        <v>23</v>
      </c>
      <c r="C24" s="2">
        <v>368.82</v>
      </c>
      <c r="D24" s="2">
        <v>6.37</v>
      </c>
    </row>
    <row r="25" spans="1:4" ht="15" thickBot="1" x14ac:dyDescent="0.35">
      <c r="A25" s="17">
        <v>22</v>
      </c>
      <c r="B25" s="1" t="s">
        <v>24</v>
      </c>
      <c r="C25" s="2">
        <v>294.87</v>
      </c>
      <c r="D25" s="2">
        <v>0</v>
      </c>
    </row>
    <row r="26" spans="1:4" ht="15" thickBot="1" x14ac:dyDescent="0.35">
      <c r="A26" s="17">
        <v>23</v>
      </c>
      <c r="B26" s="1" t="s">
        <v>25</v>
      </c>
      <c r="C26" s="2">
        <v>354.28</v>
      </c>
      <c r="D26" s="2">
        <v>19.309999999999999</v>
      </c>
    </row>
    <row r="27" spans="1:4" ht="15" thickBot="1" x14ac:dyDescent="0.35">
      <c r="A27" s="17">
        <v>24</v>
      </c>
      <c r="B27" s="1" t="s">
        <v>32</v>
      </c>
      <c r="C27" s="2">
        <v>315.54000000000002</v>
      </c>
      <c r="D27" s="2">
        <v>7.16</v>
      </c>
    </row>
    <row r="28" spans="1:4" ht="15" thickBot="1" x14ac:dyDescent="0.35">
      <c r="A28" s="17">
        <v>25</v>
      </c>
      <c r="B28" s="1" t="s">
        <v>26</v>
      </c>
      <c r="C28" s="2">
        <v>342.24</v>
      </c>
      <c r="D28" s="2">
        <v>12.5</v>
      </c>
    </row>
    <row r="29" spans="1:4" ht="15" thickBot="1" x14ac:dyDescent="0.35">
      <c r="A29" s="17">
        <v>26</v>
      </c>
      <c r="B29" s="1" t="s">
        <v>27</v>
      </c>
      <c r="C29" s="2">
        <v>406.25</v>
      </c>
      <c r="D29" s="2">
        <v>14.34</v>
      </c>
    </row>
    <row r="30" spans="1:4" ht="15" thickBot="1" x14ac:dyDescent="0.35">
      <c r="A30" s="17">
        <v>27</v>
      </c>
      <c r="B30" s="1" t="s">
        <v>28</v>
      </c>
      <c r="C30" s="2">
        <v>264.49</v>
      </c>
      <c r="D30" s="2">
        <v>13.89</v>
      </c>
    </row>
    <row r="32" spans="1:4" ht="15" thickBot="1" x14ac:dyDescent="0.35">
      <c r="B32" s="13" t="s">
        <v>117</v>
      </c>
    </row>
    <row r="33" spans="1:4" ht="28.2" thickBot="1" x14ac:dyDescent="0.35">
      <c r="B33" s="11" t="s">
        <v>0</v>
      </c>
      <c r="C33" s="12" t="s">
        <v>52</v>
      </c>
      <c r="D33" s="12" t="s">
        <v>53</v>
      </c>
    </row>
    <row r="34" spans="1:4" ht="15" thickBot="1" x14ac:dyDescent="0.35">
      <c r="A34" s="17">
        <v>1</v>
      </c>
      <c r="B34" s="1" t="s">
        <v>84</v>
      </c>
      <c r="C34" s="2">
        <v>315.54000000000002</v>
      </c>
      <c r="D34" s="2">
        <v>7.87</v>
      </c>
    </row>
    <row r="35" spans="1:4" ht="15" thickBot="1" x14ac:dyDescent="0.35">
      <c r="A35" s="17">
        <v>2</v>
      </c>
      <c r="B35" s="1" t="s">
        <v>85</v>
      </c>
      <c r="C35" s="2">
        <v>429.44</v>
      </c>
      <c r="D35" s="2">
        <v>16.95</v>
      </c>
    </row>
    <row r="36" spans="1:4" ht="15" thickBot="1" x14ac:dyDescent="0.35">
      <c r="A36" s="17">
        <v>3</v>
      </c>
      <c r="B36" s="1" t="s">
        <v>86</v>
      </c>
      <c r="C36" s="2">
        <v>317.16000000000003</v>
      </c>
      <c r="D36" s="2">
        <v>9.52</v>
      </c>
    </row>
    <row r="37" spans="1:4" ht="15" thickBot="1" x14ac:dyDescent="0.35">
      <c r="A37" s="17">
        <v>4</v>
      </c>
      <c r="B37" s="1" t="s">
        <v>87</v>
      </c>
      <c r="C37" s="2">
        <v>500.39</v>
      </c>
      <c r="D37" s="2">
        <v>35.46</v>
      </c>
    </row>
    <row r="38" spans="1:4" ht="15" thickBot="1" x14ac:dyDescent="0.35">
      <c r="A38" s="17">
        <v>5</v>
      </c>
      <c r="B38" s="1" t="s">
        <v>88</v>
      </c>
      <c r="C38" s="2">
        <v>286.45999999999998</v>
      </c>
      <c r="D38" s="2">
        <v>19.86</v>
      </c>
    </row>
    <row r="39" spans="1:4" ht="15" thickBot="1" x14ac:dyDescent="0.35">
      <c r="A39" s="17">
        <v>6</v>
      </c>
      <c r="B39" s="1" t="s">
        <v>89</v>
      </c>
      <c r="C39" s="2">
        <v>267.62</v>
      </c>
      <c r="D39" s="2">
        <v>9.43</v>
      </c>
    </row>
    <row r="40" spans="1:4" ht="15" thickBot="1" x14ac:dyDescent="0.35">
      <c r="A40" s="17">
        <v>7</v>
      </c>
      <c r="B40" s="1" t="s">
        <v>90</v>
      </c>
      <c r="C40" s="2">
        <v>302.52999999999997</v>
      </c>
      <c r="D40" s="2">
        <v>8</v>
      </c>
    </row>
    <row r="41" spans="1:4" ht="15" thickBot="1" x14ac:dyDescent="0.35">
      <c r="A41" s="17">
        <v>8</v>
      </c>
      <c r="B41" s="1" t="s">
        <v>91</v>
      </c>
      <c r="C41" s="2">
        <v>296.35000000000002</v>
      </c>
      <c r="D41" s="2">
        <v>13.65</v>
      </c>
    </row>
    <row r="42" spans="1:4" ht="15" thickBot="1" x14ac:dyDescent="0.35">
      <c r="A42" s="17">
        <v>9</v>
      </c>
      <c r="B42" s="1" t="s">
        <v>92</v>
      </c>
      <c r="C42" s="2">
        <v>350.88</v>
      </c>
      <c r="D42" s="2">
        <v>3.92</v>
      </c>
    </row>
    <row r="43" spans="1:4" ht="15" thickBot="1" x14ac:dyDescent="0.35">
      <c r="A43" s="17">
        <v>10</v>
      </c>
      <c r="B43" s="1" t="s">
        <v>93</v>
      </c>
      <c r="C43" s="2">
        <v>248.71</v>
      </c>
      <c r="D43" s="2">
        <v>17.239999999999998</v>
      </c>
    </row>
    <row r="44" spans="1:4" ht="15" thickBot="1" x14ac:dyDescent="0.35">
      <c r="A44" s="17">
        <v>11</v>
      </c>
      <c r="B44" s="1" t="s">
        <v>94</v>
      </c>
      <c r="C44" s="2">
        <v>331.08</v>
      </c>
      <c r="D44" s="2">
        <v>15.27</v>
      </c>
    </row>
    <row r="45" spans="1:4" ht="15" thickBot="1" x14ac:dyDescent="0.35">
      <c r="A45" s="17">
        <v>12</v>
      </c>
      <c r="B45" s="1" t="s">
        <v>95</v>
      </c>
      <c r="C45" s="2">
        <v>345.18</v>
      </c>
      <c r="D45" s="2">
        <v>7.94</v>
      </c>
    </row>
    <row r="46" spans="1:4" ht="15" thickBot="1" x14ac:dyDescent="0.35">
      <c r="A46" s="17">
        <v>13</v>
      </c>
      <c r="B46" s="1" t="s">
        <v>96</v>
      </c>
      <c r="C46" s="2">
        <v>240.61</v>
      </c>
      <c r="D46" s="2">
        <v>15.27</v>
      </c>
    </row>
    <row r="47" spans="1:4" ht="15" thickBot="1" x14ac:dyDescent="0.35">
      <c r="A47" s="17">
        <v>14</v>
      </c>
      <c r="B47" s="1" t="s">
        <v>97</v>
      </c>
      <c r="C47" s="2">
        <v>192.56</v>
      </c>
      <c r="D47" s="2">
        <v>11.76</v>
      </c>
    </row>
    <row r="48" spans="1:4" ht="15" thickBot="1" x14ac:dyDescent="0.35">
      <c r="A48" s="17">
        <v>15</v>
      </c>
      <c r="B48" s="1" t="s">
        <v>98</v>
      </c>
      <c r="C48" s="2">
        <v>360.54</v>
      </c>
      <c r="D48" s="2">
        <v>3.75</v>
      </c>
    </row>
    <row r="49" spans="1:4" ht="15" thickBot="1" x14ac:dyDescent="0.35">
      <c r="A49" s="17">
        <v>16</v>
      </c>
      <c r="B49" s="1" t="s">
        <v>99</v>
      </c>
      <c r="C49" s="2">
        <v>391.8</v>
      </c>
      <c r="D49" s="2">
        <v>15.96</v>
      </c>
    </row>
    <row r="50" spans="1:4" ht="15" thickBot="1" x14ac:dyDescent="0.35">
      <c r="A50" s="17">
        <v>17</v>
      </c>
      <c r="B50" s="1" t="s">
        <v>100</v>
      </c>
      <c r="C50" s="2">
        <v>349.03</v>
      </c>
      <c r="D50" s="2">
        <v>13.25</v>
      </c>
    </row>
    <row r="51" spans="1:4" ht="15" thickBot="1" x14ac:dyDescent="0.35">
      <c r="A51" s="17">
        <v>18</v>
      </c>
      <c r="B51" s="1" t="s">
        <v>101</v>
      </c>
      <c r="C51" s="2">
        <v>421.55</v>
      </c>
      <c r="D51" s="2">
        <v>12.54</v>
      </c>
    </row>
    <row r="52" spans="1:4" ht="15" thickBot="1" x14ac:dyDescent="0.35">
      <c r="A52" s="17">
        <v>19</v>
      </c>
      <c r="B52" s="1" t="s">
        <v>102</v>
      </c>
      <c r="C52" s="2">
        <v>324.95999999999998</v>
      </c>
      <c r="D52" s="2">
        <v>57.97</v>
      </c>
    </row>
    <row r="53" spans="1:4" ht="15" thickBot="1" x14ac:dyDescent="0.35">
      <c r="A53" s="17">
        <v>20</v>
      </c>
      <c r="B53" s="1" t="s">
        <v>103</v>
      </c>
      <c r="C53" s="2">
        <v>373.57</v>
      </c>
      <c r="D53" s="2">
        <v>4.95</v>
      </c>
    </row>
    <row r="54" spans="1:4" ht="15" thickBot="1" x14ac:dyDescent="0.35">
      <c r="A54" s="17">
        <v>21</v>
      </c>
      <c r="B54" s="1" t="s">
        <v>104</v>
      </c>
      <c r="C54" s="2">
        <v>337.36</v>
      </c>
      <c r="D54" s="2">
        <v>30.3</v>
      </c>
    </row>
    <row r="55" spans="1:4" ht="15" thickBot="1" x14ac:dyDescent="0.35">
      <c r="A55" s="17">
        <v>22</v>
      </c>
      <c r="B55" s="1" t="s">
        <v>105</v>
      </c>
      <c r="C55" s="2">
        <v>299.63</v>
      </c>
      <c r="D55" s="2">
        <v>21.86</v>
      </c>
    </row>
    <row r="56" spans="1:4" ht="15" thickBot="1" x14ac:dyDescent="0.35">
      <c r="A56" s="17">
        <v>23</v>
      </c>
      <c r="B56" s="1" t="s">
        <v>106</v>
      </c>
      <c r="C56" s="2">
        <v>307.63</v>
      </c>
      <c r="D56" s="2">
        <v>19.87</v>
      </c>
    </row>
    <row r="57" spans="1:4" ht="15" thickBot="1" x14ac:dyDescent="0.35">
      <c r="A57" s="17">
        <v>24</v>
      </c>
      <c r="B57" s="1" t="s">
        <v>107</v>
      </c>
      <c r="C57" s="2">
        <v>474.95</v>
      </c>
      <c r="D57" s="2">
        <v>13.51</v>
      </c>
    </row>
    <row r="58" spans="1:4" ht="15" thickBot="1" x14ac:dyDescent="0.35">
      <c r="A58" s="17">
        <v>25</v>
      </c>
      <c r="B58" s="1" t="s">
        <v>108</v>
      </c>
      <c r="C58" s="2">
        <v>280.67</v>
      </c>
      <c r="D58" s="2">
        <v>8.6</v>
      </c>
    </row>
    <row r="59" spans="1:4" ht="15" thickBot="1" x14ac:dyDescent="0.35">
      <c r="A59" s="17">
        <v>26</v>
      </c>
      <c r="B59" s="1" t="s">
        <v>109</v>
      </c>
      <c r="C59" s="2">
        <v>302.63</v>
      </c>
      <c r="D59" s="2">
        <v>15.81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7B36-5BBE-4665-80BF-6F2749D4D0D1}">
  <dimension ref="A2:F59"/>
  <sheetViews>
    <sheetView topLeftCell="A23" workbookViewId="0">
      <selection activeCell="A34" sqref="A34:A59"/>
    </sheetView>
  </sheetViews>
  <sheetFormatPr defaultRowHeight="14.4" x14ac:dyDescent="0.3"/>
  <cols>
    <col min="1" max="1" width="6.21875" customWidth="1"/>
    <col min="2" max="2" width="33.21875" customWidth="1"/>
    <col min="3" max="3" width="27.21875" customWidth="1"/>
    <col min="4" max="4" width="22" customWidth="1"/>
    <col min="5" max="5" width="21.5546875" customWidth="1"/>
    <col min="6" max="6" width="31.109375" customWidth="1"/>
  </cols>
  <sheetData>
    <row r="2" spans="1:6" ht="15" thickBot="1" x14ac:dyDescent="0.35">
      <c r="B2" s="13" t="s">
        <v>58</v>
      </c>
    </row>
    <row r="3" spans="1:6" ht="28.2" thickBot="1" x14ac:dyDescent="0.35">
      <c r="B3" s="11" t="s">
        <v>0</v>
      </c>
      <c r="C3" s="12" t="s">
        <v>55</v>
      </c>
      <c r="D3" s="12" t="s">
        <v>56</v>
      </c>
      <c r="E3" s="12" t="s">
        <v>57</v>
      </c>
      <c r="F3" s="14"/>
    </row>
    <row r="4" spans="1:6" ht="15" thickBot="1" x14ac:dyDescent="0.35">
      <c r="A4" s="17">
        <v>1</v>
      </c>
      <c r="B4" s="1" t="s">
        <v>4</v>
      </c>
      <c r="C4" s="2">
        <v>5.5</v>
      </c>
      <c r="D4" s="2">
        <v>5</v>
      </c>
      <c r="E4" s="2">
        <v>4.3</v>
      </c>
      <c r="F4" s="15"/>
    </row>
    <row r="5" spans="1:6" ht="15" thickBot="1" x14ac:dyDescent="0.35">
      <c r="A5" s="17">
        <v>2</v>
      </c>
      <c r="B5" s="1" t="s">
        <v>5</v>
      </c>
      <c r="C5" s="2">
        <v>4.5999999999999996</v>
      </c>
      <c r="D5" s="2">
        <v>4.8</v>
      </c>
      <c r="E5" s="2">
        <v>4</v>
      </c>
      <c r="F5" s="15"/>
    </row>
    <row r="6" spans="1:6" ht="15" thickBot="1" x14ac:dyDescent="0.35">
      <c r="A6" s="17">
        <v>3</v>
      </c>
      <c r="B6" s="1" t="s">
        <v>6</v>
      </c>
      <c r="C6" s="2">
        <v>5</v>
      </c>
      <c r="D6" s="2">
        <v>4.2</v>
      </c>
      <c r="E6" s="2">
        <v>4.7</v>
      </c>
      <c r="F6" s="15"/>
    </row>
    <row r="7" spans="1:6" ht="15" thickBot="1" x14ac:dyDescent="0.35">
      <c r="A7" s="17">
        <v>4</v>
      </c>
      <c r="B7" s="1" t="s">
        <v>7</v>
      </c>
      <c r="C7" s="2">
        <v>6.7</v>
      </c>
      <c r="D7" s="2">
        <v>5.8</v>
      </c>
      <c r="E7" s="2">
        <v>4.2</v>
      </c>
      <c r="F7" s="15"/>
    </row>
    <row r="8" spans="1:6" ht="15" thickBot="1" x14ac:dyDescent="0.35">
      <c r="A8" s="17">
        <v>5</v>
      </c>
      <c r="B8" s="1" t="s">
        <v>8</v>
      </c>
      <c r="C8" s="2">
        <v>4.5</v>
      </c>
      <c r="D8" s="2">
        <v>4.5</v>
      </c>
      <c r="E8" s="2">
        <v>4.4000000000000004</v>
      </c>
      <c r="F8" s="15"/>
    </row>
    <row r="9" spans="1:6" ht="15" thickBot="1" x14ac:dyDescent="0.35">
      <c r="A9" s="17">
        <v>6</v>
      </c>
      <c r="B9" s="1" t="s">
        <v>9</v>
      </c>
      <c r="C9" s="2">
        <v>5.4</v>
      </c>
      <c r="D9" s="2">
        <v>4.5999999999999996</v>
      </c>
      <c r="E9" s="2">
        <v>4.8</v>
      </c>
      <c r="F9" s="15"/>
    </row>
    <row r="10" spans="1:6" ht="15" thickBot="1" x14ac:dyDescent="0.35">
      <c r="A10" s="17">
        <v>7</v>
      </c>
      <c r="B10" s="1" t="s">
        <v>10</v>
      </c>
      <c r="C10" s="2">
        <v>6.8</v>
      </c>
      <c r="D10" s="2">
        <v>6.5</v>
      </c>
      <c r="E10" s="2">
        <v>4.5999999999999996</v>
      </c>
      <c r="F10" s="15"/>
    </row>
    <row r="11" spans="1:6" ht="15" thickBot="1" x14ac:dyDescent="0.35">
      <c r="A11" s="17">
        <v>8</v>
      </c>
      <c r="B11" s="1" t="s">
        <v>31</v>
      </c>
      <c r="C11" s="2">
        <v>4.0999999999999996</v>
      </c>
      <c r="D11" s="2">
        <v>3.8</v>
      </c>
      <c r="E11" s="2">
        <v>4.3</v>
      </c>
      <c r="F11" s="15"/>
    </row>
    <row r="12" spans="1:6" ht="15" thickBot="1" x14ac:dyDescent="0.35">
      <c r="A12" s="17">
        <v>9</v>
      </c>
      <c r="B12" s="1" t="s">
        <v>11</v>
      </c>
      <c r="C12" s="2">
        <v>5.2</v>
      </c>
      <c r="D12" s="2">
        <v>4.5999999999999996</v>
      </c>
      <c r="E12" s="2">
        <v>4.4000000000000004</v>
      </c>
      <c r="F12" s="15"/>
    </row>
    <row r="13" spans="1:6" ht="15" thickBot="1" x14ac:dyDescent="0.35">
      <c r="A13" s="17">
        <v>10</v>
      </c>
      <c r="B13" s="1" t="s">
        <v>12</v>
      </c>
      <c r="C13" s="2">
        <v>5.4</v>
      </c>
      <c r="D13" s="2">
        <v>4.4000000000000004</v>
      </c>
      <c r="E13" s="2">
        <v>5</v>
      </c>
      <c r="F13" s="15"/>
    </row>
    <row r="14" spans="1:6" ht="15" thickBot="1" x14ac:dyDescent="0.35">
      <c r="A14" s="17">
        <v>11</v>
      </c>
      <c r="B14" s="1" t="s">
        <v>13</v>
      </c>
      <c r="C14" s="2">
        <v>5.2</v>
      </c>
      <c r="D14" s="2">
        <v>4.8</v>
      </c>
      <c r="E14" s="2">
        <v>4.8</v>
      </c>
      <c r="F14" s="15"/>
    </row>
    <row r="15" spans="1:6" ht="15" thickBot="1" x14ac:dyDescent="0.35">
      <c r="A15" s="17">
        <v>12</v>
      </c>
      <c r="B15" s="1" t="s">
        <v>14</v>
      </c>
      <c r="C15" s="2">
        <v>7.3</v>
      </c>
      <c r="D15" s="2">
        <v>5.7</v>
      </c>
      <c r="E15" s="2">
        <v>5</v>
      </c>
      <c r="F15" s="15"/>
    </row>
    <row r="16" spans="1:6" ht="15" thickBot="1" x14ac:dyDescent="0.35">
      <c r="A16" s="17">
        <v>13</v>
      </c>
      <c r="B16" s="1" t="s">
        <v>15</v>
      </c>
      <c r="C16" s="2">
        <v>5.0999999999999996</v>
      </c>
      <c r="D16" s="2">
        <v>4.5</v>
      </c>
      <c r="E16" s="2">
        <v>4.9000000000000004</v>
      </c>
      <c r="F16" s="15"/>
    </row>
    <row r="17" spans="1:6" ht="15" thickBot="1" x14ac:dyDescent="0.35">
      <c r="A17" s="17">
        <v>14</v>
      </c>
      <c r="B17" s="1" t="s">
        <v>16</v>
      </c>
      <c r="C17" s="2">
        <v>5.4</v>
      </c>
      <c r="D17" s="2">
        <v>4.5</v>
      </c>
      <c r="E17" s="2">
        <v>4.4000000000000004</v>
      </c>
      <c r="F17" s="15"/>
    </row>
    <row r="18" spans="1:6" ht="15" thickBot="1" x14ac:dyDescent="0.35">
      <c r="A18" s="17">
        <v>15</v>
      </c>
      <c r="B18" s="1" t="s">
        <v>17</v>
      </c>
      <c r="C18" s="2">
        <v>4.9000000000000004</v>
      </c>
      <c r="D18" s="2">
        <v>4.4000000000000004</v>
      </c>
      <c r="E18" s="2">
        <v>4.7</v>
      </c>
      <c r="F18" s="15"/>
    </row>
    <row r="19" spans="1:6" ht="15" thickBot="1" x14ac:dyDescent="0.35">
      <c r="A19" s="17">
        <v>16</v>
      </c>
      <c r="B19" s="1" t="s">
        <v>18</v>
      </c>
      <c r="C19" s="2">
        <v>5.0999999999999996</v>
      </c>
      <c r="D19" s="2">
        <v>5</v>
      </c>
      <c r="E19" s="2">
        <v>4.7</v>
      </c>
      <c r="F19" s="15"/>
    </row>
    <row r="20" spans="1:6" ht="15" thickBot="1" x14ac:dyDescent="0.35">
      <c r="A20" s="17">
        <v>17</v>
      </c>
      <c r="B20" s="1" t="s">
        <v>19</v>
      </c>
      <c r="C20" s="2">
        <v>7.8</v>
      </c>
      <c r="D20" s="2">
        <v>6.4</v>
      </c>
      <c r="E20" s="2">
        <v>5</v>
      </c>
      <c r="F20" s="15"/>
    </row>
    <row r="21" spans="1:6" ht="15" thickBot="1" x14ac:dyDescent="0.35">
      <c r="A21" s="17">
        <v>18</v>
      </c>
      <c r="B21" s="1" t="s">
        <v>20</v>
      </c>
      <c r="C21" s="2">
        <v>5.4</v>
      </c>
      <c r="D21" s="2">
        <v>4.5</v>
      </c>
      <c r="E21" s="2">
        <v>4.5</v>
      </c>
      <c r="F21" s="15"/>
    </row>
    <row r="22" spans="1:6" ht="15" thickBot="1" x14ac:dyDescent="0.35">
      <c r="A22" s="17">
        <v>19</v>
      </c>
      <c r="B22" s="1" t="s">
        <v>21</v>
      </c>
      <c r="C22" s="2">
        <v>4.8</v>
      </c>
      <c r="D22" s="2">
        <v>4.8</v>
      </c>
      <c r="E22" s="2">
        <v>4.3</v>
      </c>
      <c r="F22" s="15"/>
    </row>
    <row r="23" spans="1:6" ht="15" thickBot="1" x14ac:dyDescent="0.35">
      <c r="A23" s="17">
        <v>20</v>
      </c>
      <c r="B23" s="1" t="s">
        <v>22</v>
      </c>
      <c r="C23" s="2">
        <v>4.5</v>
      </c>
      <c r="D23" s="2">
        <v>3.7</v>
      </c>
      <c r="E23" s="2">
        <v>4.5999999999999996</v>
      </c>
      <c r="F23" s="15"/>
    </row>
    <row r="24" spans="1:6" ht="15" thickBot="1" x14ac:dyDescent="0.35">
      <c r="A24" s="17">
        <v>21</v>
      </c>
      <c r="B24" s="1" t="s">
        <v>23</v>
      </c>
      <c r="C24" s="2">
        <v>5.2</v>
      </c>
      <c r="D24" s="2">
        <v>4.3</v>
      </c>
      <c r="E24" s="2">
        <v>4.7</v>
      </c>
      <c r="F24" s="15"/>
    </row>
    <row r="25" spans="1:6" ht="15" thickBot="1" x14ac:dyDescent="0.35">
      <c r="A25" s="17">
        <v>22</v>
      </c>
      <c r="B25" s="1" t="s">
        <v>24</v>
      </c>
      <c r="C25" s="2">
        <v>6.5</v>
      </c>
      <c r="D25" s="2">
        <v>5.0999999999999996</v>
      </c>
      <c r="E25" s="2">
        <v>4.3</v>
      </c>
      <c r="F25" s="15"/>
    </row>
    <row r="26" spans="1:6" ht="15" thickBot="1" x14ac:dyDescent="0.35">
      <c r="A26" s="17">
        <v>23</v>
      </c>
      <c r="B26" s="1" t="s">
        <v>25</v>
      </c>
      <c r="C26" s="2">
        <v>4.5999999999999996</v>
      </c>
      <c r="D26" s="2">
        <v>4.7</v>
      </c>
      <c r="E26" s="2">
        <v>4.3</v>
      </c>
      <c r="F26" s="15"/>
    </row>
    <row r="27" spans="1:6" ht="15" thickBot="1" x14ac:dyDescent="0.35">
      <c r="A27" s="17">
        <v>24</v>
      </c>
      <c r="B27" s="1" t="s">
        <v>32</v>
      </c>
      <c r="C27" s="2">
        <v>5.6</v>
      </c>
      <c r="D27" s="2">
        <v>5.0999999999999996</v>
      </c>
      <c r="E27" s="2">
        <v>4.8</v>
      </c>
      <c r="F27" s="15"/>
    </row>
    <row r="28" spans="1:6" ht="15" thickBot="1" x14ac:dyDescent="0.35">
      <c r="A28" s="17">
        <v>25</v>
      </c>
      <c r="B28" s="1" t="s">
        <v>26</v>
      </c>
      <c r="C28" s="2">
        <v>4.7</v>
      </c>
      <c r="D28" s="2">
        <v>4.4000000000000004</v>
      </c>
      <c r="E28" s="2">
        <v>4.4000000000000004</v>
      </c>
      <c r="F28" s="15"/>
    </row>
    <row r="29" spans="1:6" ht="15" thickBot="1" x14ac:dyDescent="0.35">
      <c r="A29" s="17">
        <v>26</v>
      </c>
      <c r="B29" s="1" t="s">
        <v>27</v>
      </c>
      <c r="C29" s="2">
        <v>5.0999999999999996</v>
      </c>
      <c r="D29" s="2">
        <v>3.7</v>
      </c>
      <c r="E29" s="2">
        <v>4.5</v>
      </c>
      <c r="F29" s="15"/>
    </row>
    <row r="30" spans="1:6" ht="15" thickBot="1" x14ac:dyDescent="0.35">
      <c r="A30" s="17">
        <v>27</v>
      </c>
      <c r="B30" s="1" t="s">
        <v>28</v>
      </c>
      <c r="C30" s="2">
        <v>4</v>
      </c>
      <c r="D30" s="2">
        <v>4.2</v>
      </c>
      <c r="E30" s="2">
        <v>4.7</v>
      </c>
      <c r="F30" s="15"/>
    </row>
    <row r="32" spans="1:6" ht="15" thickBot="1" x14ac:dyDescent="0.35">
      <c r="B32" s="13" t="s">
        <v>118</v>
      </c>
    </row>
    <row r="33" spans="1:5" ht="28.2" thickBot="1" x14ac:dyDescent="0.35">
      <c r="B33" s="11" t="s">
        <v>0</v>
      </c>
      <c r="C33" s="12" t="s">
        <v>55</v>
      </c>
      <c r="D33" s="12" t="s">
        <v>56</v>
      </c>
      <c r="E33" s="12" t="s">
        <v>57</v>
      </c>
    </row>
    <row r="34" spans="1:5" ht="15" thickBot="1" x14ac:dyDescent="0.35">
      <c r="A34" s="17">
        <v>1</v>
      </c>
      <c r="B34" s="1" t="s">
        <v>84</v>
      </c>
      <c r="C34" s="2">
        <v>5.0999999999999996</v>
      </c>
      <c r="D34" s="2">
        <v>4.9000000000000004</v>
      </c>
      <c r="E34" s="2">
        <v>4.4000000000000004</v>
      </c>
    </row>
    <row r="35" spans="1:5" ht="15" thickBot="1" x14ac:dyDescent="0.35">
      <c r="A35" s="17">
        <v>2</v>
      </c>
      <c r="B35" s="1" t="s">
        <v>85</v>
      </c>
      <c r="C35" s="2">
        <v>5.0999999999999996</v>
      </c>
      <c r="D35" s="2">
        <v>5.0999999999999996</v>
      </c>
      <c r="E35" s="2">
        <v>4.4000000000000004</v>
      </c>
    </row>
    <row r="36" spans="1:5" ht="15" thickBot="1" x14ac:dyDescent="0.35">
      <c r="A36" s="17">
        <v>3</v>
      </c>
      <c r="B36" s="1" t="s">
        <v>86</v>
      </c>
      <c r="C36" s="2">
        <v>5.4</v>
      </c>
      <c r="D36" s="2">
        <v>4.7</v>
      </c>
      <c r="E36" s="2">
        <v>4.5</v>
      </c>
    </row>
    <row r="37" spans="1:5" ht="15" thickBot="1" x14ac:dyDescent="0.35">
      <c r="A37" s="17">
        <v>4</v>
      </c>
      <c r="B37" s="1" t="s">
        <v>87</v>
      </c>
      <c r="C37" s="2">
        <v>5.3</v>
      </c>
      <c r="D37" s="2">
        <v>4.0999999999999996</v>
      </c>
      <c r="E37" s="2">
        <v>4.5</v>
      </c>
    </row>
    <row r="38" spans="1:5" ht="15" thickBot="1" x14ac:dyDescent="0.35">
      <c r="A38" s="17">
        <v>5</v>
      </c>
      <c r="B38" s="1" t="s">
        <v>88</v>
      </c>
      <c r="C38" s="2">
        <v>5.0999999999999996</v>
      </c>
      <c r="D38" s="2">
        <v>4.7</v>
      </c>
      <c r="E38" s="2">
        <v>4.4000000000000004</v>
      </c>
    </row>
    <row r="39" spans="1:5" ht="15" thickBot="1" x14ac:dyDescent="0.35">
      <c r="A39" s="17">
        <v>6</v>
      </c>
      <c r="B39" s="1" t="s">
        <v>89</v>
      </c>
      <c r="C39" s="2">
        <v>5.4</v>
      </c>
      <c r="D39" s="2">
        <v>4.5999999999999996</v>
      </c>
      <c r="E39" s="2">
        <v>4.5</v>
      </c>
    </row>
    <row r="40" spans="1:5" ht="15" thickBot="1" x14ac:dyDescent="0.35">
      <c r="A40" s="17">
        <v>7</v>
      </c>
      <c r="B40" s="1" t="s">
        <v>90</v>
      </c>
      <c r="C40" s="2">
        <v>4.5999999999999996</v>
      </c>
      <c r="D40" s="2">
        <v>4.7</v>
      </c>
      <c r="E40" s="2">
        <v>4.3</v>
      </c>
    </row>
    <row r="41" spans="1:5" ht="15" thickBot="1" x14ac:dyDescent="0.35">
      <c r="A41" s="17">
        <v>8</v>
      </c>
      <c r="B41" s="1" t="s">
        <v>91</v>
      </c>
      <c r="C41" s="2">
        <v>5.2</v>
      </c>
      <c r="D41" s="2">
        <v>4.7</v>
      </c>
      <c r="E41" s="2">
        <v>4.4000000000000004</v>
      </c>
    </row>
    <row r="42" spans="1:5" ht="15" thickBot="1" x14ac:dyDescent="0.35">
      <c r="A42" s="17">
        <v>9</v>
      </c>
      <c r="B42" s="1" t="s">
        <v>92</v>
      </c>
      <c r="C42" s="2">
        <v>5.6</v>
      </c>
      <c r="D42" s="2">
        <v>4.8</v>
      </c>
      <c r="E42" s="2">
        <v>4.4000000000000004</v>
      </c>
    </row>
    <row r="43" spans="1:5" ht="15" thickBot="1" x14ac:dyDescent="0.35">
      <c r="A43" s="17">
        <v>10</v>
      </c>
      <c r="B43" s="1" t="s">
        <v>93</v>
      </c>
      <c r="C43" s="2">
        <v>5.0999999999999996</v>
      </c>
      <c r="D43" s="2">
        <v>4.2</v>
      </c>
      <c r="E43" s="2">
        <v>4.5</v>
      </c>
    </row>
    <row r="44" spans="1:5" ht="15" thickBot="1" x14ac:dyDescent="0.35">
      <c r="A44" s="17">
        <v>11</v>
      </c>
      <c r="B44" s="1" t="s">
        <v>94</v>
      </c>
      <c r="C44" s="2">
        <v>5.5</v>
      </c>
      <c r="D44" s="2">
        <v>4.8</v>
      </c>
      <c r="E44" s="2">
        <v>4.9000000000000004</v>
      </c>
    </row>
    <row r="45" spans="1:5" ht="15" thickBot="1" x14ac:dyDescent="0.35">
      <c r="A45" s="17">
        <v>12</v>
      </c>
      <c r="B45" s="1" t="s">
        <v>95</v>
      </c>
      <c r="C45" s="2">
        <v>4.9000000000000004</v>
      </c>
      <c r="D45" s="2">
        <v>4.5</v>
      </c>
      <c r="E45" s="2">
        <v>4.5</v>
      </c>
    </row>
    <row r="46" spans="1:5" ht="15" thickBot="1" x14ac:dyDescent="0.35">
      <c r="A46" s="17">
        <v>13</v>
      </c>
      <c r="B46" s="1" t="s">
        <v>96</v>
      </c>
      <c r="C46" s="2">
        <v>4.5</v>
      </c>
      <c r="D46" s="2">
        <v>4.3</v>
      </c>
      <c r="E46" s="2">
        <v>4.5999999999999996</v>
      </c>
    </row>
    <row r="47" spans="1:5" ht="15" thickBot="1" x14ac:dyDescent="0.35">
      <c r="A47" s="17">
        <v>14</v>
      </c>
      <c r="B47" s="1" t="s">
        <v>97</v>
      </c>
      <c r="C47" s="2">
        <v>5.6</v>
      </c>
      <c r="D47" s="2">
        <v>4.5</v>
      </c>
      <c r="E47" s="2">
        <v>4.9000000000000004</v>
      </c>
    </row>
    <row r="48" spans="1:5" ht="15" thickBot="1" x14ac:dyDescent="0.35">
      <c r="A48" s="17">
        <v>15</v>
      </c>
      <c r="B48" s="1" t="s">
        <v>98</v>
      </c>
      <c r="C48" s="2">
        <v>5.2</v>
      </c>
      <c r="D48" s="2">
        <v>4.9000000000000004</v>
      </c>
      <c r="E48" s="2">
        <v>4.7</v>
      </c>
    </row>
    <row r="49" spans="1:5" ht="15" thickBot="1" x14ac:dyDescent="0.35">
      <c r="A49" s="17">
        <v>16</v>
      </c>
      <c r="B49" s="1" t="s">
        <v>99</v>
      </c>
      <c r="C49" s="2">
        <v>5.5</v>
      </c>
      <c r="D49" s="2">
        <v>4.7</v>
      </c>
      <c r="E49" s="2">
        <v>4</v>
      </c>
    </row>
    <row r="50" spans="1:5" ht="15" thickBot="1" x14ac:dyDescent="0.35">
      <c r="A50" s="17">
        <v>17</v>
      </c>
      <c r="B50" s="1" t="s">
        <v>100</v>
      </c>
      <c r="C50" s="2">
        <v>5.5</v>
      </c>
      <c r="D50" s="2">
        <v>5.4</v>
      </c>
      <c r="E50" s="2">
        <v>0</v>
      </c>
    </row>
    <row r="51" spans="1:5" ht="15" thickBot="1" x14ac:dyDescent="0.35">
      <c r="A51" s="17">
        <v>18</v>
      </c>
      <c r="B51" s="1" t="s">
        <v>101</v>
      </c>
      <c r="C51" s="2">
        <v>4.8</v>
      </c>
      <c r="D51" s="2">
        <v>4.4000000000000004</v>
      </c>
      <c r="E51" s="2">
        <v>4.8</v>
      </c>
    </row>
    <row r="52" spans="1:5" ht="15" thickBot="1" x14ac:dyDescent="0.35">
      <c r="A52" s="17">
        <v>19</v>
      </c>
      <c r="B52" s="1" t="s">
        <v>102</v>
      </c>
      <c r="C52" s="2">
        <v>4.8</v>
      </c>
      <c r="D52" s="2">
        <v>4.3</v>
      </c>
      <c r="E52" s="2">
        <v>4.7</v>
      </c>
    </row>
    <row r="53" spans="1:5" ht="15" thickBot="1" x14ac:dyDescent="0.35">
      <c r="A53" s="17">
        <v>20</v>
      </c>
      <c r="B53" s="1" t="s">
        <v>103</v>
      </c>
      <c r="C53" s="2">
        <v>5.2</v>
      </c>
      <c r="D53" s="2">
        <v>4.5999999999999996</v>
      </c>
      <c r="E53" s="2">
        <v>4.2</v>
      </c>
    </row>
    <row r="54" spans="1:5" ht="15" thickBot="1" x14ac:dyDescent="0.35">
      <c r="A54" s="17">
        <v>21</v>
      </c>
      <c r="B54" s="1" t="s">
        <v>104</v>
      </c>
      <c r="C54" s="2">
        <v>5</v>
      </c>
      <c r="D54" s="2">
        <v>0</v>
      </c>
      <c r="E54" s="2">
        <v>3.9</v>
      </c>
    </row>
    <row r="55" spans="1:5" ht="15" thickBot="1" x14ac:dyDescent="0.35">
      <c r="A55" s="17">
        <v>22</v>
      </c>
      <c r="B55" s="1" t="s">
        <v>105</v>
      </c>
      <c r="C55" s="2">
        <v>7.1</v>
      </c>
      <c r="D55" s="2">
        <v>5</v>
      </c>
      <c r="E55" s="2">
        <v>4.3</v>
      </c>
    </row>
    <row r="56" spans="1:5" ht="15" thickBot="1" x14ac:dyDescent="0.35">
      <c r="A56" s="17">
        <v>23</v>
      </c>
      <c r="B56" s="1" t="s">
        <v>106</v>
      </c>
      <c r="C56" s="2">
        <v>5.5</v>
      </c>
      <c r="D56" s="2">
        <v>4.7</v>
      </c>
      <c r="E56" s="2">
        <v>4.0999999999999996</v>
      </c>
    </row>
    <row r="57" spans="1:5" ht="15" thickBot="1" x14ac:dyDescent="0.35">
      <c r="A57" s="17">
        <v>24</v>
      </c>
      <c r="B57" s="1" t="s">
        <v>107</v>
      </c>
      <c r="C57" s="2">
        <v>5.0999999999999996</v>
      </c>
      <c r="D57" s="2">
        <v>4.5999999999999996</v>
      </c>
      <c r="E57" s="2">
        <v>4.4000000000000004</v>
      </c>
    </row>
    <row r="58" spans="1:5" ht="15" thickBot="1" x14ac:dyDescent="0.35">
      <c r="A58" s="17">
        <v>25</v>
      </c>
      <c r="B58" s="1" t="s">
        <v>108</v>
      </c>
      <c r="C58" s="2">
        <v>5.5</v>
      </c>
      <c r="D58" s="2">
        <v>4.5999999999999996</v>
      </c>
      <c r="E58" s="2">
        <v>4.5999999999999996</v>
      </c>
    </row>
    <row r="59" spans="1:5" ht="15" thickBot="1" x14ac:dyDescent="0.35">
      <c r="A59" s="17">
        <v>26</v>
      </c>
      <c r="B59" s="1" t="s">
        <v>109</v>
      </c>
      <c r="C59" s="2">
        <v>5.6</v>
      </c>
      <c r="D59" s="2">
        <v>4.5999999999999996</v>
      </c>
      <c r="E59" s="2">
        <v>4.8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249F-B097-46EF-8497-AE785DDF64A7}">
  <dimension ref="A3:D60"/>
  <sheetViews>
    <sheetView topLeftCell="A38" workbookViewId="0">
      <selection activeCell="A35" sqref="A35:A60"/>
    </sheetView>
  </sheetViews>
  <sheetFormatPr defaultRowHeight="14.4" x14ac:dyDescent="0.3"/>
  <cols>
    <col min="1" max="1" width="3.5546875" customWidth="1"/>
    <col min="2" max="2" width="22.5546875" customWidth="1"/>
    <col min="3" max="3" width="21.21875" customWidth="1"/>
    <col min="4" max="4" width="19.44140625" customWidth="1"/>
  </cols>
  <sheetData>
    <row r="3" spans="1:4" ht="15" thickBot="1" x14ac:dyDescent="0.35">
      <c r="B3" s="20" t="s">
        <v>59</v>
      </c>
    </row>
    <row r="4" spans="1:4" ht="28.2" thickBot="1" x14ac:dyDescent="0.35">
      <c r="B4" s="11" t="s">
        <v>0</v>
      </c>
      <c r="C4" s="12" t="s">
        <v>60</v>
      </c>
      <c r="D4" s="12" t="s">
        <v>61</v>
      </c>
    </row>
    <row r="5" spans="1:4" ht="15" thickBot="1" x14ac:dyDescent="0.35">
      <c r="A5" s="17">
        <v>1</v>
      </c>
      <c r="B5" s="1" t="s">
        <v>4</v>
      </c>
      <c r="C5" s="2" t="s">
        <v>62</v>
      </c>
      <c r="D5" s="2">
        <v>4.3099999999999996</v>
      </c>
    </row>
    <row r="6" spans="1:4" ht="15" thickBot="1" x14ac:dyDescent="0.35">
      <c r="A6" s="17">
        <v>2</v>
      </c>
      <c r="B6" s="1" t="s">
        <v>5</v>
      </c>
      <c r="C6" s="2" t="s">
        <v>62</v>
      </c>
      <c r="D6" s="2">
        <v>3.84</v>
      </c>
    </row>
    <row r="7" spans="1:4" ht="15" thickBot="1" x14ac:dyDescent="0.35">
      <c r="A7" s="17">
        <v>3</v>
      </c>
      <c r="B7" s="1" t="s">
        <v>6</v>
      </c>
      <c r="C7" s="2">
        <v>4.95</v>
      </c>
      <c r="D7" s="2">
        <v>4.47</v>
      </c>
    </row>
    <row r="8" spans="1:4" ht="15" thickBot="1" x14ac:dyDescent="0.35">
      <c r="A8" s="17">
        <v>4</v>
      </c>
      <c r="B8" s="1" t="s">
        <v>7</v>
      </c>
      <c r="C8" s="2" t="s">
        <v>62</v>
      </c>
      <c r="D8" s="2">
        <v>3.83</v>
      </c>
    </row>
    <row r="9" spans="1:4" ht="15" thickBot="1" x14ac:dyDescent="0.35">
      <c r="A9" s="17">
        <v>5</v>
      </c>
      <c r="B9" s="1" t="s">
        <v>8</v>
      </c>
      <c r="C9" s="2">
        <v>4.45</v>
      </c>
      <c r="D9" s="2">
        <v>4.2699999999999996</v>
      </c>
    </row>
    <row r="10" spans="1:4" ht="15" thickBot="1" x14ac:dyDescent="0.35">
      <c r="A10" s="17">
        <v>6</v>
      </c>
      <c r="B10" s="1" t="s">
        <v>9</v>
      </c>
      <c r="C10" s="2">
        <v>5.19</v>
      </c>
      <c r="D10" s="2">
        <v>4.54</v>
      </c>
    </row>
    <row r="11" spans="1:4" ht="15" thickBot="1" x14ac:dyDescent="0.35">
      <c r="A11" s="17">
        <v>7</v>
      </c>
      <c r="B11" s="1" t="s">
        <v>10</v>
      </c>
      <c r="C11" s="2" t="s">
        <v>62</v>
      </c>
      <c r="D11" s="2">
        <v>4.57</v>
      </c>
    </row>
    <row r="12" spans="1:4" ht="15" thickBot="1" x14ac:dyDescent="0.35">
      <c r="A12" s="17">
        <v>8</v>
      </c>
      <c r="B12" s="1" t="s">
        <v>31</v>
      </c>
      <c r="C12" s="2" t="s">
        <v>62</v>
      </c>
      <c r="D12" s="2">
        <v>4.21</v>
      </c>
    </row>
    <row r="13" spans="1:4" ht="15" thickBot="1" x14ac:dyDescent="0.35">
      <c r="A13" s="17">
        <v>9</v>
      </c>
      <c r="B13" s="1" t="s">
        <v>11</v>
      </c>
      <c r="C13" s="2">
        <v>4.59</v>
      </c>
      <c r="D13" s="2">
        <v>4</v>
      </c>
    </row>
    <row r="14" spans="1:4" ht="15" thickBot="1" x14ac:dyDescent="0.35">
      <c r="A14" s="17">
        <v>10</v>
      </c>
      <c r="B14" s="1" t="s">
        <v>12</v>
      </c>
      <c r="C14" s="2" t="s">
        <v>62</v>
      </c>
      <c r="D14" s="2">
        <v>5.28</v>
      </c>
    </row>
    <row r="15" spans="1:4" ht="15" thickBot="1" x14ac:dyDescent="0.35">
      <c r="A15" s="17">
        <v>11</v>
      </c>
      <c r="B15" s="1" t="s">
        <v>13</v>
      </c>
      <c r="C15" s="2">
        <v>4.4800000000000004</v>
      </c>
      <c r="D15" s="2">
        <v>4.54</v>
      </c>
    </row>
    <row r="16" spans="1:4" ht="15" thickBot="1" x14ac:dyDescent="0.35">
      <c r="A16" s="17">
        <v>12</v>
      </c>
      <c r="B16" s="1" t="s">
        <v>14</v>
      </c>
      <c r="C16" s="2" t="s">
        <v>62</v>
      </c>
      <c r="D16" s="2">
        <v>4.92</v>
      </c>
    </row>
    <row r="17" spans="1:4" ht="15" thickBot="1" x14ac:dyDescent="0.35">
      <c r="A17" s="17">
        <v>13</v>
      </c>
      <c r="B17" s="1" t="s">
        <v>15</v>
      </c>
      <c r="C17" s="2">
        <v>5.29</v>
      </c>
      <c r="D17" s="2">
        <v>4.68</v>
      </c>
    </row>
    <row r="18" spans="1:4" ht="15" thickBot="1" x14ac:dyDescent="0.35">
      <c r="A18" s="17">
        <v>14</v>
      </c>
      <c r="B18" s="1" t="s">
        <v>16</v>
      </c>
      <c r="C18" s="2" t="s">
        <v>62</v>
      </c>
      <c r="D18" s="2">
        <v>4.37</v>
      </c>
    </row>
    <row r="19" spans="1:4" ht="15" thickBot="1" x14ac:dyDescent="0.35">
      <c r="A19" s="17">
        <v>15</v>
      </c>
      <c r="B19" s="1" t="s">
        <v>17</v>
      </c>
      <c r="C19" s="2" t="s">
        <v>62</v>
      </c>
      <c r="D19" s="2">
        <v>4.62</v>
      </c>
    </row>
    <row r="20" spans="1:4" ht="15" thickBot="1" x14ac:dyDescent="0.35">
      <c r="A20" s="17">
        <v>16</v>
      </c>
      <c r="B20" s="1" t="s">
        <v>18</v>
      </c>
      <c r="C20" s="2" t="s">
        <v>62</v>
      </c>
      <c r="D20" s="2">
        <v>4.3099999999999996</v>
      </c>
    </row>
    <row r="21" spans="1:4" ht="15" thickBot="1" x14ac:dyDescent="0.35">
      <c r="A21" s="17">
        <v>17</v>
      </c>
      <c r="B21" s="1" t="s">
        <v>19</v>
      </c>
      <c r="C21" s="2" t="s">
        <v>62</v>
      </c>
      <c r="D21" s="2">
        <v>4.8899999999999997</v>
      </c>
    </row>
    <row r="22" spans="1:4" ht="15" thickBot="1" x14ac:dyDescent="0.35">
      <c r="A22" s="17">
        <v>18</v>
      </c>
      <c r="B22" s="1" t="s">
        <v>20</v>
      </c>
      <c r="C22" s="2">
        <v>4.3499999999999996</v>
      </c>
      <c r="D22" s="2">
        <v>4.33</v>
      </c>
    </row>
    <row r="23" spans="1:4" ht="15" thickBot="1" x14ac:dyDescent="0.35">
      <c r="A23" s="17">
        <v>19</v>
      </c>
      <c r="B23" s="1" t="s">
        <v>21</v>
      </c>
      <c r="C23" s="2" t="s">
        <v>62</v>
      </c>
      <c r="D23" s="2">
        <v>4.16</v>
      </c>
    </row>
    <row r="24" spans="1:4" ht="15" thickBot="1" x14ac:dyDescent="0.35">
      <c r="A24" s="17">
        <v>20</v>
      </c>
      <c r="B24" s="1" t="s">
        <v>22</v>
      </c>
      <c r="C24" s="2" t="s">
        <v>62</v>
      </c>
      <c r="D24" s="2">
        <v>4.38</v>
      </c>
    </row>
    <row r="25" spans="1:4" ht="15" thickBot="1" x14ac:dyDescent="0.35">
      <c r="A25" s="17">
        <v>21</v>
      </c>
      <c r="B25" s="1" t="s">
        <v>23</v>
      </c>
      <c r="C25" s="2" t="s">
        <v>62</v>
      </c>
      <c r="D25" s="2">
        <v>4.66</v>
      </c>
    </row>
    <row r="26" spans="1:4" ht="15" thickBot="1" x14ac:dyDescent="0.35">
      <c r="A26" s="17">
        <v>22</v>
      </c>
      <c r="B26" s="1" t="s">
        <v>24</v>
      </c>
      <c r="C26" s="2" t="s">
        <v>62</v>
      </c>
      <c r="D26" s="2">
        <v>5.0199999999999996</v>
      </c>
    </row>
    <row r="27" spans="1:4" ht="15" thickBot="1" x14ac:dyDescent="0.35">
      <c r="A27" s="17">
        <v>23</v>
      </c>
      <c r="B27" s="1" t="s">
        <v>25</v>
      </c>
      <c r="C27" s="2">
        <v>5.27</v>
      </c>
      <c r="D27" s="2">
        <v>4.04</v>
      </c>
    </row>
    <row r="28" spans="1:4" ht="15" thickBot="1" x14ac:dyDescent="0.35">
      <c r="A28" s="17">
        <v>24</v>
      </c>
      <c r="B28" s="1" t="s">
        <v>32</v>
      </c>
      <c r="C28" s="2" t="s">
        <v>62</v>
      </c>
      <c r="D28" s="2">
        <v>4.5999999999999996</v>
      </c>
    </row>
    <row r="29" spans="1:4" ht="15" thickBot="1" x14ac:dyDescent="0.35">
      <c r="A29" s="17">
        <v>25</v>
      </c>
      <c r="B29" s="1" t="s">
        <v>26</v>
      </c>
      <c r="C29" s="2">
        <v>4.5599999999999996</v>
      </c>
      <c r="D29" s="2">
        <v>4.3099999999999996</v>
      </c>
    </row>
    <row r="30" spans="1:4" ht="15" thickBot="1" x14ac:dyDescent="0.35">
      <c r="A30" s="17">
        <v>26</v>
      </c>
      <c r="B30" s="1" t="s">
        <v>27</v>
      </c>
      <c r="C30" s="2" t="s">
        <v>62</v>
      </c>
      <c r="D30" s="2">
        <v>4.5999999999999996</v>
      </c>
    </row>
    <row r="31" spans="1:4" ht="15" thickBot="1" x14ac:dyDescent="0.35">
      <c r="A31" s="17">
        <v>27</v>
      </c>
      <c r="B31" s="1" t="s">
        <v>28</v>
      </c>
      <c r="C31" s="2" t="s">
        <v>62</v>
      </c>
      <c r="D31" s="2">
        <v>4.54</v>
      </c>
    </row>
    <row r="33" spans="1:4" ht="15" thickBot="1" x14ac:dyDescent="0.35"/>
    <row r="34" spans="1:4" ht="28.2" thickBot="1" x14ac:dyDescent="0.35">
      <c r="B34" s="11" t="s">
        <v>0</v>
      </c>
      <c r="C34" s="12" t="s">
        <v>60</v>
      </c>
      <c r="D34" s="12" t="s">
        <v>61</v>
      </c>
    </row>
    <row r="35" spans="1:4" ht="15" thickBot="1" x14ac:dyDescent="0.35">
      <c r="A35" s="17">
        <v>1</v>
      </c>
      <c r="B35" s="1" t="s">
        <v>84</v>
      </c>
      <c r="C35" s="2" t="s">
        <v>62</v>
      </c>
      <c r="D35" s="2">
        <v>4.18</v>
      </c>
    </row>
    <row r="36" spans="1:4" ht="15" thickBot="1" x14ac:dyDescent="0.35">
      <c r="A36" s="17">
        <v>2</v>
      </c>
      <c r="B36" s="1" t="s">
        <v>85</v>
      </c>
      <c r="C36" s="2" t="s">
        <v>62</v>
      </c>
      <c r="D36" s="2">
        <v>4.01</v>
      </c>
    </row>
    <row r="37" spans="1:4" ht="15" thickBot="1" x14ac:dyDescent="0.35">
      <c r="A37" s="17">
        <v>3</v>
      </c>
      <c r="B37" s="1" t="s">
        <v>86</v>
      </c>
      <c r="C37" s="2">
        <v>5.34</v>
      </c>
      <c r="D37" s="2">
        <v>4.3499999999999996</v>
      </c>
    </row>
    <row r="38" spans="1:4" ht="15" thickBot="1" x14ac:dyDescent="0.35">
      <c r="A38" s="17">
        <v>4</v>
      </c>
      <c r="B38" s="1" t="s">
        <v>87</v>
      </c>
      <c r="C38" s="2" t="s">
        <v>62</v>
      </c>
      <c r="D38" s="2">
        <v>4.2</v>
      </c>
    </row>
    <row r="39" spans="1:4" ht="15" thickBot="1" x14ac:dyDescent="0.35">
      <c r="A39" s="17">
        <v>5</v>
      </c>
      <c r="B39" s="1" t="s">
        <v>88</v>
      </c>
      <c r="C39" s="2">
        <v>4.22</v>
      </c>
      <c r="D39" s="2">
        <v>4.25</v>
      </c>
    </row>
    <row r="40" spans="1:4" ht="15" thickBot="1" x14ac:dyDescent="0.35">
      <c r="A40" s="17">
        <v>6</v>
      </c>
      <c r="B40" s="1" t="s">
        <v>89</v>
      </c>
      <c r="C40" s="2" t="s">
        <v>62</v>
      </c>
      <c r="D40" s="2">
        <v>4.3899999999999997</v>
      </c>
    </row>
    <row r="41" spans="1:4" ht="15" thickBot="1" x14ac:dyDescent="0.35">
      <c r="A41" s="17">
        <v>7</v>
      </c>
      <c r="B41" s="1" t="s">
        <v>90</v>
      </c>
      <c r="C41" s="2" t="s">
        <v>62</v>
      </c>
      <c r="D41" s="2">
        <v>4.1100000000000003</v>
      </c>
    </row>
    <row r="42" spans="1:4" ht="15" thickBot="1" x14ac:dyDescent="0.35">
      <c r="A42" s="17">
        <v>8</v>
      </c>
      <c r="B42" s="1" t="s">
        <v>91</v>
      </c>
      <c r="C42" s="2" t="s">
        <v>62</v>
      </c>
      <c r="D42" s="2">
        <v>4.12</v>
      </c>
    </row>
    <row r="43" spans="1:4" ht="15" thickBot="1" x14ac:dyDescent="0.35">
      <c r="A43" s="17">
        <v>9</v>
      </c>
      <c r="B43" s="1" t="s">
        <v>92</v>
      </c>
      <c r="C43" s="2" t="s">
        <v>62</v>
      </c>
      <c r="D43" s="2">
        <v>4.18</v>
      </c>
    </row>
    <row r="44" spans="1:4" ht="15" thickBot="1" x14ac:dyDescent="0.35">
      <c r="A44" s="17">
        <v>10</v>
      </c>
      <c r="B44" s="1" t="s">
        <v>93</v>
      </c>
      <c r="C44" s="2" t="s">
        <v>62</v>
      </c>
      <c r="D44" s="2">
        <v>4.53</v>
      </c>
    </row>
    <row r="45" spans="1:4" ht="15" thickBot="1" x14ac:dyDescent="0.35">
      <c r="A45" s="17">
        <v>11</v>
      </c>
      <c r="B45" s="1" t="s">
        <v>94</v>
      </c>
      <c r="C45" s="2">
        <v>5.44</v>
      </c>
      <c r="D45" s="2">
        <v>4.72</v>
      </c>
    </row>
    <row r="46" spans="1:4" ht="15" thickBot="1" x14ac:dyDescent="0.35">
      <c r="A46" s="17">
        <v>12</v>
      </c>
      <c r="B46" s="1" t="s">
        <v>95</v>
      </c>
      <c r="C46" s="2" t="s">
        <v>62</v>
      </c>
      <c r="D46" s="2">
        <v>4.26</v>
      </c>
    </row>
    <row r="47" spans="1:4" ht="15" thickBot="1" x14ac:dyDescent="0.35">
      <c r="A47" s="17">
        <v>13</v>
      </c>
      <c r="B47" s="1" t="s">
        <v>96</v>
      </c>
      <c r="C47" s="2">
        <v>5.48</v>
      </c>
      <c r="D47" s="2">
        <v>4.42</v>
      </c>
    </row>
    <row r="48" spans="1:4" ht="15" thickBot="1" x14ac:dyDescent="0.35">
      <c r="A48" s="17">
        <v>14</v>
      </c>
      <c r="B48" s="34" t="s">
        <v>97</v>
      </c>
      <c r="C48" s="35" t="s">
        <v>62</v>
      </c>
      <c r="D48" s="35">
        <v>5.0599999999999996</v>
      </c>
    </row>
    <row r="49" spans="1:4" ht="15" thickBot="1" x14ac:dyDescent="0.35">
      <c r="A49" s="17">
        <v>15</v>
      </c>
      <c r="B49" s="1" t="s">
        <v>98</v>
      </c>
      <c r="C49" s="2" t="s">
        <v>62</v>
      </c>
      <c r="D49" s="2">
        <v>4.53</v>
      </c>
    </row>
    <row r="50" spans="1:4" ht="15" thickBot="1" x14ac:dyDescent="0.35">
      <c r="A50" s="17">
        <v>16</v>
      </c>
      <c r="B50" s="1" t="s">
        <v>99</v>
      </c>
      <c r="C50" s="2" t="s">
        <v>62</v>
      </c>
      <c r="D50" s="2">
        <v>3.9</v>
      </c>
    </row>
    <row r="51" spans="1:4" ht="15" thickBot="1" x14ac:dyDescent="0.35">
      <c r="A51" s="17">
        <v>17</v>
      </c>
      <c r="B51" s="1" t="s">
        <v>100</v>
      </c>
      <c r="C51" s="2" t="s">
        <v>62</v>
      </c>
      <c r="D51" s="2">
        <v>5.8</v>
      </c>
    </row>
    <row r="52" spans="1:4" ht="15" thickBot="1" x14ac:dyDescent="0.35">
      <c r="A52" s="17">
        <v>18</v>
      </c>
      <c r="B52" s="1" t="s">
        <v>101</v>
      </c>
      <c r="C52" s="2" t="s">
        <v>62</v>
      </c>
      <c r="D52" s="2">
        <v>4.62</v>
      </c>
    </row>
    <row r="53" spans="1:4" ht="15" thickBot="1" x14ac:dyDescent="0.35">
      <c r="A53" s="17">
        <v>19</v>
      </c>
      <c r="B53" s="1" t="s">
        <v>102</v>
      </c>
      <c r="C53" s="2" t="s">
        <v>62</v>
      </c>
      <c r="D53" s="2">
        <v>4.4800000000000004</v>
      </c>
    </row>
    <row r="54" spans="1:4" ht="15" thickBot="1" x14ac:dyDescent="0.35">
      <c r="A54" s="17">
        <v>20</v>
      </c>
      <c r="B54" s="1" t="s">
        <v>103</v>
      </c>
      <c r="C54" s="2" t="s">
        <v>62</v>
      </c>
      <c r="D54" s="2">
        <v>3.98</v>
      </c>
    </row>
    <row r="55" spans="1:4" ht="15" thickBot="1" x14ac:dyDescent="0.35">
      <c r="A55" s="17">
        <v>21</v>
      </c>
      <c r="B55" s="1" t="s">
        <v>104</v>
      </c>
      <c r="C55" s="2">
        <v>4.74</v>
      </c>
      <c r="D55" s="2">
        <v>3.69</v>
      </c>
    </row>
    <row r="56" spans="1:4" ht="15" thickBot="1" x14ac:dyDescent="0.35">
      <c r="A56" s="17">
        <v>22</v>
      </c>
      <c r="B56" s="1" t="s">
        <v>105</v>
      </c>
      <c r="C56" s="2" t="s">
        <v>62</v>
      </c>
      <c r="D56" s="2">
        <v>3.99</v>
      </c>
    </row>
    <row r="57" spans="1:4" ht="15" thickBot="1" x14ac:dyDescent="0.35">
      <c r="A57" s="17">
        <v>23</v>
      </c>
      <c r="B57" s="1" t="s">
        <v>106</v>
      </c>
      <c r="C57" s="2" t="s">
        <v>62</v>
      </c>
      <c r="D57" s="2">
        <v>3.93</v>
      </c>
    </row>
    <row r="58" spans="1:4" ht="15" thickBot="1" x14ac:dyDescent="0.35">
      <c r="A58" s="17">
        <v>24</v>
      </c>
      <c r="B58" s="1" t="s">
        <v>107</v>
      </c>
      <c r="C58" s="2" t="s">
        <v>62</v>
      </c>
      <c r="D58" s="2">
        <v>4.3099999999999996</v>
      </c>
    </row>
    <row r="59" spans="1:4" ht="15" thickBot="1" x14ac:dyDescent="0.35">
      <c r="A59" s="17">
        <v>25</v>
      </c>
      <c r="B59" s="1" t="s">
        <v>108</v>
      </c>
      <c r="C59" s="2" t="s">
        <v>62</v>
      </c>
      <c r="D59" s="2">
        <v>4.26</v>
      </c>
    </row>
    <row r="60" spans="1:4" ht="15" thickBot="1" x14ac:dyDescent="0.35">
      <c r="A60" s="17">
        <v>26</v>
      </c>
      <c r="B60" s="1" t="s">
        <v>109</v>
      </c>
      <c r="C60" s="2">
        <v>5.45</v>
      </c>
      <c r="D60" s="2">
        <v>4.6900000000000004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Tabela 1</vt:lpstr>
      <vt:lpstr>Tabela 2</vt:lpstr>
      <vt:lpstr>Tabela 3</vt:lpstr>
      <vt:lpstr>Tabela 4</vt:lpstr>
      <vt:lpstr>Tabela 6</vt:lpstr>
      <vt:lpstr>Tabela 7</vt:lpstr>
      <vt:lpstr>Tabela 9</vt:lpstr>
      <vt:lpstr>Tabela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Celso Dantas Antonino</dc:creator>
  <cp:lastModifiedBy>Antonio Celso Dantas Antonino</cp:lastModifiedBy>
  <dcterms:created xsi:type="dcterms:W3CDTF">2026-01-03T19:12:13Z</dcterms:created>
  <dcterms:modified xsi:type="dcterms:W3CDTF">2026-01-05T10:47:18Z</dcterms:modified>
</cp:coreProperties>
</file>